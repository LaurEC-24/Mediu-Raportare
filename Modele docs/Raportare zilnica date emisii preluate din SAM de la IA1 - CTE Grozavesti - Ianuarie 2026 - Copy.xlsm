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ure\Documents\Cod\Mediu-Raportare\"/>
    </mc:Choice>
  </mc:AlternateContent>
  <xr:revisionPtr revIDLastSave="0" documentId="13_ncr:1_{9C8A19C2-CED8-443C-8B11-DCB4D3920E9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A1 Ian" sheetId="1" r:id="rId1"/>
    <sheet name="IA2" sheetId="2" r:id="rId2"/>
    <sheet name="IA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0" i="3" l="1"/>
  <c r="D810" i="3"/>
  <c r="G810" i="3"/>
  <c r="H810" i="3"/>
  <c r="J810" i="3"/>
  <c r="K810" i="3"/>
  <c r="C701" i="3"/>
  <c r="D701" i="3"/>
  <c r="E701" i="3"/>
  <c r="E806" i="3" s="1"/>
  <c r="E810" i="3" s="1"/>
  <c r="F701" i="3"/>
  <c r="G701" i="3"/>
  <c r="H701" i="3"/>
  <c r="H806" i="3" s="1"/>
  <c r="I701" i="3"/>
  <c r="I806" i="3" s="1"/>
  <c r="I810" i="3" s="1"/>
  <c r="J701" i="3"/>
  <c r="J806" i="3" s="1"/>
  <c r="K701" i="3"/>
  <c r="K806" i="3" s="1"/>
  <c r="C676" i="3"/>
  <c r="D676" i="3"/>
  <c r="E676" i="3"/>
  <c r="F676" i="3"/>
  <c r="F805" i="3" s="1"/>
  <c r="G676" i="3"/>
  <c r="H676" i="3"/>
  <c r="I676" i="3"/>
  <c r="J676" i="3"/>
  <c r="J805" i="3" s="1"/>
  <c r="K676" i="3"/>
  <c r="K805" i="3" s="1"/>
  <c r="C651" i="3"/>
  <c r="C804" i="3" s="1"/>
  <c r="D651" i="3"/>
  <c r="E651" i="3"/>
  <c r="F651" i="3"/>
  <c r="F804" i="3" s="1"/>
  <c r="G651" i="3"/>
  <c r="G804" i="3" s="1"/>
  <c r="H651" i="3"/>
  <c r="H804" i="3" s="1"/>
  <c r="I651" i="3"/>
  <c r="I804" i="3" s="1"/>
  <c r="J651" i="3"/>
  <c r="J804" i="3" s="1"/>
  <c r="K651" i="3"/>
  <c r="K804" i="3" s="1"/>
  <c r="C626" i="3"/>
  <c r="D626" i="3"/>
  <c r="E626" i="3"/>
  <c r="E803" i="3" s="1"/>
  <c r="F626" i="3"/>
  <c r="F803" i="3" s="1"/>
  <c r="G626" i="3"/>
  <c r="H626" i="3"/>
  <c r="I626" i="3"/>
  <c r="J626" i="3"/>
  <c r="J803" i="3" s="1"/>
  <c r="K626" i="3"/>
  <c r="K803" i="3" s="1"/>
  <c r="C601" i="3"/>
  <c r="D601" i="3"/>
  <c r="E601" i="3"/>
  <c r="F601" i="3"/>
  <c r="F802" i="3" s="1"/>
  <c r="F810" i="3" s="1"/>
  <c r="G601" i="3"/>
  <c r="G802" i="3" s="1"/>
  <c r="H601" i="3"/>
  <c r="H802" i="3" s="1"/>
  <c r="I601" i="3"/>
  <c r="I802" i="3" s="1"/>
  <c r="J601" i="3"/>
  <c r="J802" i="3" s="1"/>
  <c r="K601" i="3"/>
  <c r="C576" i="3"/>
  <c r="C801" i="3" s="1"/>
  <c r="D576" i="3"/>
  <c r="E576" i="3"/>
  <c r="F576" i="3"/>
  <c r="G576" i="3"/>
  <c r="G801" i="3" s="1"/>
  <c r="H576" i="3"/>
  <c r="I576" i="3"/>
  <c r="I801" i="3" s="1"/>
  <c r="J576" i="3"/>
  <c r="J801" i="3" s="1"/>
  <c r="K576" i="3"/>
  <c r="K801" i="3" s="1"/>
  <c r="C551" i="3"/>
  <c r="C800" i="3" s="1"/>
  <c r="D551" i="3"/>
  <c r="E551" i="3"/>
  <c r="F551" i="3"/>
  <c r="G551" i="3"/>
  <c r="H551" i="3"/>
  <c r="H800" i="3" s="1"/>
  <c r="I551" i="3"/>
  <c r="I800" i="3" s="1"/>
  <c r="J551" i="3"/>
  <c r="J800" i="3" s="1"/>
  <c r="K551" i="3"/>
  <c r="K800" i="3" s="1"/>
  <c r="C526" i="3"/>
  <c r="C799" i="3" s="1"/>
  <c r="D526" i="3"/>
  <c r="E526" i="3"/>
  <c r="F526" i="3"/>
  <c r="G526" i="3"/>
  <c r="H526" i="3"/>
  <c r="I526" i="3"/>
  <c r="I799" i="3" s="1"/>
  <c r="J526" i="3"/>
  <c r="J799" i="3" s="1"/>
  <c r="K526" i="3"/>
  <c r="K799" i="3" s="1"/>
  <c r="C501" i="3"/>
  <c r="D501" i="3"/>
  <c r="E501" i="3"/>
  <c r="F501" i="3"/>
  <c r="F798" i="3" s="1"/>
  <c r="G501" i="3"/>
  <c r="G798" i="3" s="1"/>
  <c r="H501" i="3"/>
  <c r="H798" i="3" s="1"/>
  <c r="I501" i="3"/>
  <c r="I798" i="3" s="1"/>
  <c r="J501" i="3"/>
  <c r="J798" i="3" s="1"/>
  <c r="K501" i="3"/>
  <c r="K798" i="3" s="1"/>
  <c r="C476" i="3"/>
  <c r="C797" i="3" s="1"/>
  <c r="D476" i="3"/>
  <c r="E476" i="3"/>
  <c r="F476" i="3"/>
  <c r="G476" i="3"/>
  <c r="G797" i="3" s="1"/>
  <c r="H476" i="3"/>
  <c r="I476" i="3"/>
  <c r="J476" i="3"/>
  <c r="K476" i="3"/>
  <c r="K797" i="3" s="1"/>
  <c r="C451" i="3"/>
  <c r="D451" i="3"/>
  <c r="E451" i="3"/>
  <c r="E796" i="3" s="1"/>
  <c r="F451" i="3"/>
  <c r="F796" i="3" s="1"/>
  <c r="G451" i="3"/>
  <c r="G796" i="3" s="1"/>
  <c r="H451" i="3"/>
  <c r="H796" i="3" s="1"/>
  <c r="I451" i="3"/>
  <c r="J451" i="3"/>
  <c r="J796" i="3" s="1"/>
  <c r="K451" i="3"/>
  <c r="K796" i="3" s="1"/>
  <c r="C426" i="3"/>
  <c r="D426" i="3"/>
  <c r="E426" i="3"/>
  <c r="F426" i="3"/>
  <c r="G426" i="3"/>
  <c r="G795" i="3" s="1"/>
  <c r="H426" i="3"/>
  <c r="H795" i="3" s="1"/>
  <c r="I426" i="3"/>
  <c r="J426" i="3"/>
  <c r="K426" i="3"/>
  <c r="K795" i="3" s="1"/>
  <c r="C401" i="3"/>
  <c r="C794" i="3" s="1"/>
  <c r="D401" i="3"/>
  <c r="D794" i="3" s="1"/>
  <c r="E401" i="3"/>
  <c r="E794" i="3" s="1"/>
  <c r="F401" i="3"/>
  <c r="G401" i="3"/>
  <c r="H401" i="3"/>
  <c r="H794" i="3" s="1"/>
  <c r="I401" i="3"/>
  <c r="I794" i="3" s="1"/>
  <c r="J401" i="3"/>
  <c r="K401" i="3"/>
  <c r="C376" i="3"/>
  <c r="D376" i="3"/>
  <c r="D793" i="3" s="1"/>
  <c r="E376" i="3"/>
  <c r="E793" i="3" s="1"/>
  <c r="F376" i="3"/>
  <c r="G376" i="3"/>
  <c r="H376" i="3"/>
  <c r="I376" i="3"/>
  <c r="J376" i="3"/>
  <c r="K376" i="3"/>
  <c r="C351" i="3"/>
  <c r="C792" i="3" s="1"/>
  <c r="D351" i="3"/>
  <c r="D792" i="3" s="1"/>
  <c r="E351" i="3"/>
  <c r="F351" i="3"/>
  <c r="G351" i="3"/>
  <c r="H351" i="3"/>
  <c r="I351" i="3"/>
  <c r="J351" i="3"/>
  <c r="K351" i="3"/>
  <c r="C326" i="3"/>
  <c r="D326" i="3"/>
  <c r="D791" i="3" s="1"/>
  <c r="E326" i="3"/>
  <c r="E791" i="3" s="1"/>
  <c r="F326" i="3"/>
  <c r="G326" i="3"/>
  <c r="G791" i="3" s="1"/>
  <c r="H326" i="3"/>
  <c r="H791" i="3" s="1"/>
  <c r="I326" i="3"/>
  <c r="J326" i="3"/>
  <c r="K326" i="3"/>
  <c r="K791" i="3" s="1"/>
  <c r="C301" i="3"/>
  <c r="D301" i="3"/>
  <c r="E301" i="3"/>
  <c r="E790" i="3" s="1"/>
  <c r="F301" i="3"/>
  <c r="F790" i="3" s="1"/>
  <c r="G301" i="3"/>
  <c r="G790" i="3" s="1"/>
  <c r="H301" i="3"/>
  <c r="H790" i="3" s="1"/>
  <c r="I301" i="3"/>
  <c r="I790" i="3" s="1"/>
  <c r="J301" i="3"/>
  <c r="K301" i="3"/>
  <c r="C276" i="3"/>
  <c r="D276" i="3"/>
  <c r="D789" i="3" s="1"/>
  <c r="E276" i="3"/>
  <c r="E789" i="3" s="1"/>
  <c r="F276" i="3"/>
  <c r="G276" i="3"/>
  <c r="H276" i="3"/>
  <c r="H789" i="3" s="1"/>
  <c r="I276" i="3"/>
  <c r="I789" i="3" s="1"/>
  <c r="J276" i="3"/>
  <c r="J789" i="3" s="1"/>
  <c r="K276" i="3"/>
  <c r="K789" i="3" s="1"/>
  <c r="C251" i="3"/>
  <c r="D251" i="3"/>
  <c r="E251" i="3"/>
  <c r="E788" i="3" s="1"/>
  <c r="F251" i="3"/>
  <c r="G251" i="3"/>
  <c r="H251" i="3"/>
  <c r="H788" i="3" s="1"/>
  <c r="I251" i="3"/>
  <c r="I788" i="3" s="1"/>
  <c r="J251" i="3"/>
  <c r="J788" i="3" s="1"/>
  <c r="K251" i="3"/>
  <c r="K788" i="3" s="1"/>
  <c r="C226" i="3"/>
  <c r="D226" i="3"/>
  <c r="D787" i="3" s="1"/>
  <c r="E226" i="3"/>
  <c r="E787" i="3" s="1"/>
  <c r="F226" i="3"/>
  <c r="G226" i="3"/>
  <c r="H226" i="3"/>
  <c r="I226" i="3"/>
  <c r="J226" i="3"/>
  <c r="J787" i="3" s="1"/>
  <c r="K226" i="3"/>
  <c r="C201" i="3"/>
  <c r="D201" i="3"/>
  <c r="E201" i="3"/>
  <c r="F201" i="3"/>
  <c r="G201" i="3"/>
  <c r="H201" i="3"/>
  <c r="I201" i="3"/>
  <c r="I786" i="3" s="1"/>
  <c r="J201" i="3"/>
  <c r="J786" i="3" s="1"/>
  <c r="K201" i="3"/>
  <c r="K786" i="3" s="1"/>
  <c r="C176" i="3"/>
  <c r="D176" i="3"/>
  <c r="D785" i="3" s="1"/>
  <c r="E176" i="3"/>
  <c r="E785" i="3" s="1"/>
  <c r="F176" i="3"/>
  <c r="G176" i="3"/>
  <c r="H176" i="3"/>
  <c r="H785" i="3" s="1"/>
  <c r="I176" i="3"/>
  <c r="I785" i="3" s="1"/>
  <c r="J176" i="3"/>
  <c r="J785" i="3" s="1"/>
  <c r="K176" i="3"/>
  <c r="K785" i="3" s="1"/>
  <c r="C151" i="3"/>
  <c r="D151" i="3"/>
  <c r="E151" i="3"/>
  <c r="F151" i="3"/>
  <c r="G151" i="3"/>
  <c r="H151" i="3"/>
  <c r="H784" i="3" s="1"/>
  <c r="I151" i="3"/>
  <c r="J151" i="3"/>
  <c r="J784" i="3" s="1"/>
  <c r="K151" i="3"/>
  <c r="K784" i="3" s="1"/>
  <c r="C126" i="3"/>
  <c r="C783" i="3" s="1"/>
  <c r="D126" i="3"/>
  <c r="E126" i="3"/>
  <c r="F126" i="3"/>
  <c r="G126" i="3"/>
  <c r="G783" i="3" s="1"/>
  <c r="H126" i="3"/>
  <c r="I126" i="3"/>
  <c r="J126" i="3"/>
  <c r="J783" i="3" s="1"/>
  <c r="K126" i="3"/>
  <c r="K783" i="3" s="1"/>
  <c r="C101" i="3"/>
  <c r="C782" i="3" s="1"/>
  <c r="D101" i="3"/>
  <c r="E101" i="3"/>
  <c r="F101" i="3"/>
  <c r="G101" i="3"/>
  <c r="H101" i="3"/>
  <c r="H782" i="3" s="1"/>
  <c r="I101" i="3"/>
  <c r="I782" i="3" s="1"/>
  <c r="J101" i="3"/>
  <c r="J782" i="3" s="1"/>
  <c r="K101" i="3"/>
  <c r="K782" i="3" s="1"/>
  <c r="C76" i="3"/>
  <c r="D76" i="3"/>
  <c r="E76" i="3"/>
  <c r="E781" i="3" s="1"/>
  <c r="F76" i="3"/>
  <c r="F781" i="3" s="1"/>
  <c r="G76" i="3"/>
  <c r="H76" i="3"/>
  <c r="I76" i="3"/>
  <c r="J76" i="3"/>
  <c r="K76" i="3"/>
  <c r="K781" i="3" s="1"/>
  <c r="C51" i="3"/>
  <c r="D51" i="3"/>
  <c r="E51" i="3"/>
  <c r="F51" i="3"/>
  <c r="F780" i="3" s="1"/>
  <c r="G51" i="3"/>
  <c r="G780" i="3" s="1"/>
  <c r="H51" i="3"/>
  <c r="H780" i="3" s="1"/>
  <c r="I51" i="3"/>
  <c r="I780" i="3" s="1"/>
  <c r="J51" i="3"/>
  <c r="J780" i="3" s="1"/>
  <c r="K51" i="3"/>
  <c r="K780" i="3" s="1"/>
  <c r="C26" i="3"/>
  <c r="C779" i="3" s="1"/>
  <c r="D26" i="3"/>
  <c r="D779" i="3" s="1"/>
  <c r="E26" i="3"/>
  <c r="E779" i="3" s="1"/>
  <c r="F26" i="3"/>
  <c r="G26" i="3"/>
  <c r="H26" i="3"/>
  <c r="H779" i="3" s="1"/>
  <c r="I26" i="3"/>
  <c r="I779" i="3" s="1"/>
  <c r="J26" i="3"/>
  <c r="K26" i="3"/>
  <c r="C806" i="3"/>
  <c r="D804" i="3"/>
  <c r="C802" i="3"/>
  <c r="E801" i="3"/>
  <c r="G800" i="3"/>
  <c r="H799" i="3"/>
  <c r="H797" i="3"/>
  <c r="J795" i="3"/>
  <c r="J794" i="3"/>
  <c r="K794" i="3"/>
  <c r="J793" i="3"/>
  <c r="K793" i="3"/>
  <c r="F792" i="3"/>
  <c r="C787" i="3"/>
  <c r="I787" i="3"/>
  <c r="C786" i="3"/>
  <c r="D786" i="3"/>
  <c r="E786" i="3"/>
  <c r="E783" i="3"/>
  <c r="D782" i="3"/>
  <c r="D781" i="3"/>
  <c r="F779" i="3"/>
  <c r="K809" i="3"/>
  <c r="J809" i="3"/>
  <c r="I809" i="3"/>
  <c r="F809" i="3"/>
  <c r="I808" i="3"/>
  <c r="H808" i="3"/>
  <c r="G808" i="3"/>
  <c r="F808" i="3"/>
  <c r="C808" i="3"/>
  <c r="F807" i="3"/>
  <c r="E807" i="3"/>
  <c r="D807" i="3"/>
  <c r="C807" i="3"/>
  <c r="I805" i="3"/>
  <c r="D803" i="3"/>
  <c r="C803" i="3"/>
  <c r="F801" i="3"/>
  <c r="F800" i="3"/>
  <c r="E799" i="3"/>
  <c r="D799" i="3"/>
  <c r="J797" i="3"/>
  <c r="I797" i="3"/>
  <c r="E795" i="3"/>
  <c r="D795" i="3"/>
  <c r="C795" i="3"/>
  <c r="I793" i="3"/>
  <c r="H792" i="3"/>
  <c r="G792" i="3"/>
  <c r="C791" i="3"/>
  <c r="G788" i="3"/>
  <c r="F788" i="3"/>
  <c r="G784" i="3"/>
  <c r="F784" i="3"/>
  <c r="F783" i="3"/>
  <c r="D783" i="3"/>
  <c r="J781" i="3"/>
  <c r="I781" i="3"/>
  <c r="H809" i="3"/>
  <c r="G809" i="3"/>
  <c r="E809" i="3"/>
  <c r="D809" i="3"/>
  <c r="C809" i="3"/>
  <c r="K808" i="3"/>
  <c r="J808" i="3"/>
  <c r="E808" i="3"/>
  <c r="D808" i="3"/>
  <c r="K807" i="3"/>
  <c r="J807" i="3"/>
  <c r="I807" i="3"/>
  <c r="H807" i="3"/>
  <c r="G807" i="3"/>
  <c r="G806" i="3"/>
  <c r="F806" i="3"/>
  <c r="D806" i="3"/>
  <c r="H805" i="3"/>
  <c r="G805" i="3"/>
  <c r="E805" i="3"/>
  <c r="D805" i="3"/>
  <c r="C805" i="3"/>
  <c r="E804" i="3"/>
  <c r="I803" i="3"/>
  <c r="H803" i="3"/>
  <c r="G803" i="3"/>
  <c r="K802" i="3"/>
  <c r="E802" i="3"/>
  <c r="D802" i="3"/>
  <c r="H801" i="3"/>
  <c r="D801" i="3"/>
  <c r="E800" i="3"/>
  <c r="D800" i="3"/>
  <c r="G799" i="3"/>
  <c r="F799" i="3"/>
  <c r="E798" i="3"/>
  <c r="D798" i="3"/>
  <c r="C798" i="3"/>
  <c r="F797" i="3"/>
  <c r="E797" i="3"/>
  <c r="D797" i="3"/>
  <c r="I796" i="3"/>
  <c r="D796" i="3"/>
  <c r="C796" i="3"/>
  <c r="I795" i="3"/>
  <c r="F795" i="3"/>
  <c r="G794" i="3"/>
  <c r="F794" i="3"/>
  <c r="H793" i="3"/>
  <c r="G793" i="3"/>
  <c r="F793" i="3"/>
  <c r="C793" i="3"/>
  <c r="K792" i="3"/>
  <c r="J792" i="3"/>
  <c r="I792" i="3"/>
  <c r="E792" i="3"/>
  <c r="J791" i="3"/>
  <c r="I791" i="3"/>
  <c r="F791" i="3"/>
  <c r="K790" i="3"/>
  <c r="J790" i="3"/>
  <c r="D790" i="3"/>
  <c r="C790" i="3"/>
  <c r="G789" i="3"/>
  <c r="F789" i="3"/>
  <c r="C789" i="3"/>
  <c r="D788" i="3"/>
  <c r="C788" i="3"/>
  <c r="K787" i="3"/>
  <c r="H787" i="3"/>
  <c r="G787" i="3"/>
  <c r="F787" i="3"/>
  <c r="H786" i="3"/>
  <c r="G786" i="3"/>
  <c r="F786" i="3"/>
  <c r="G785" i="3"/>
  <c r="F785" i="3"/>
  <c r="C785" i="3"/>
  <c r="I784" i="3"/>
  <c r="E784" i="3"/>
  <c r="D784" i="3"/>
  <c r="C784" i="3"/>
  <c r="I783" i="3"/>
  <c r="H783" i="3"/>
  <c r="G782" i="3"/>
  <c r="F782" i="3"/>
  <c r="E782" i="3"/>
  <c r="H781" i="3"/>
  <c r="G781" i="3"/>
  <c r="C781" i="3"/>
  <c r="E780" i="3"/>
  <c r="D780" i="3"/>
  <c r="C780" i="3"/>
  <c r="K779" i="3"/>
  <c r="J779" i="3"/>
  <c r="G779" i="3"/>
  <c r="K809" i="2" l="1"/>
  <c r="J809" i="2"/>
  <c r="I809" i="2"/>
  <c r="K808" i="2"/>
  <c r="J808" i="2"/>
  <c r="I808" i="2"/>
  <c r="H808" i="2"/>
  <c r="G808" i="2"/>
  <c r="F808" i="2"/>
  <c r="H807" i="2"/>
  <c r="E807" i="2"/>
  <c r="D807" i="2"/>
  <c r="C807" i="2"/>
  <c r="D806" i="2"/>
  <c r="C806" i="2"/>
  <c r="K805" i="2"/>
  <c r="J805" i="2"/>
  <c r="I805" i="2"/>
  <c r="J804" i="2"/>
  <c r="I804" i="2"/>
  <c r="H804" i="2"/>
  <c r="G804" i="2"/>
  <c r="F804" i="2"/>
  <c r="E803" i="2"/>
  <c r="D803" i="2"/>
  <c r="C803" i="2"/>
  <c r="E802" i="2"/>
  <c r="D802" i="2"/>
  <c r="C802" i="2"/>
  <c r="K801" i="2"/>
  <c r="J801" i="2"/>
  <c r="I801" i="2"/>
  <c r="H800" i="2"/>
  <c r="G800" i="2"/>
  <c r="F800" i="2"/>
  <c r="G799" i="2"/>
  <c r="F799" i="2"/>
  <c r="E799" i="2"/>
  <c r="D799" i="2"/>
  <c r="C799" i="2"/>
  <c r="K797" i="2"/>
  <c r="J797" i="2"/>
  <c r="I797" i="2"/>
  <c r="J796" i="2"/>
  <c r="I796" i="2"/>
  <c r="H796" i="2"/>
  <c r="G796" i="2"/>
  <c r="F796" i="2"/>
  <c r="G795" i="2"/>
  <c r="F795" i="2"/>
  <c r="E795" i="2"/>
  <c r="D795" i="2"/>
  <c r="C795" i="2"/>
  <c r="K793" i="2"/>
  <c r="J793" i="2"/>
  <c r="I793" i="2"/>
  <c r="J792" i="2"/>
  <c r="I792" i="2"/>
  <c r="H792" i="2"/>
  <c r="G792" i="2"/>
  <c r="F792" i="2"/>
  <c r="E791" i="2"/>
  <c r="D791" i="2"/>
  <c r="C791" i="2"/>
  <c r="D790" i="2"/>
  <c r="C790" i="2"/>
  <c r="K789" i="2"/>
  <c r="J789" i="2"/>
  <c r="I789" i="2"/>
  <c r="J788" i="2"/>
  <c r="H788" i="2"/>
  <c r="G788" i="2"/>
  <c r="F788" i="2"/>
  <c r="G787" i="2"/>
  <c r="F787" i="2"/>
  <c r="E787" i="2"/>
  <c r="D787" i="2"/>
  <c r="C787" i="2"/>
  <c r="D786" i="2"/>
  <c r="C786" i="2"/>
  <c r="K785" i="2"/>
  <c r="J785" i="2"/>
  <c r="I785" i="2"/>
  <c r="H784" i="2"/>
  <c r="G784" i="2"/>
  <c r="F784" i="2"/>
  <c r="G783" i="2"/>
  <c r="F783" i="2"/>
  <c r="E783" i="2"/>
  <c r="D783" i="2"/>
  <c r="C783" i="2"/>
  <c r="K781" i="2"/>
  <c r="J781" i="2"/>
  <c r="I781" i="2"/>
  <c r="K780" i="2"/>
  <c r="J780" i="2"/>
  <c r="I780" i="2"/>
  <c r="H780" i="2"/>
  <c r="G780" i="2"/>
  <c r="F780" i="2"/>
  <c r="H779" i="2"/>
  <c r="E779" i="2"/>
  <c r="D779" i="2"/>
  <c r="C779" i="2"/>
  <c r="K776" i="2"/>
  <c r="J776" i="2"/>
  <c r="I776" i="2"/>
  <c r="H776" i="2"/>
  <c r="H809" i="2" s="1"/>
  <c r="G776" i="2"/>
  <c r="G809" i="2" s="1"/>
  <c r="F776" i="2"/>
  <c r="F809" i="2" s="1"/>
  <c r="E776" i="2"/>
  <c r="E809" i="2" s="1"/>
  <c r="D776" i="2"/>
  <c r="D809" i="2" s="1"/>
  <c r="C776" i="2"/>
  <c r="C809" i="2" s="1"/>
  <c r="K751" i="2"/>
  <c r="J751" i="2"/>
  <c r="I751" i="2"/>
  <c r="H751" i="2"/>
  <c r="G751" i="2"/>
  <c r="F751" i="2"/>
  <c r="E751" i="2"/>
  <c r="E808" i="2" s="1"/>
  <c r="D751" i="2"/>
  <c r="D808" i="2" s="1"/>
  <c r="C751" i="2"/>
  <c r="C808" i="2" s="1"/>
  <c r="K726" i="2"/>
  <c r="K807" i="2" s="1"/>
  <c r="J726" i="2"/>
  <c r="J807" i="2" s="1"/>
  <c r="I726" i="2"/>
  <c r="I807" i="2" s="1"/>
  <c r="H726" i="2"/>
  <c r="G726" i="2"/>
  <c r="G807" i="2" s="1"/>
  <c r="F726" i="2"/>
  <c r="F807" i="2" s="1"/>
  <c r="E726" i="2"/>
  <c r="D726" i="2"/>
  <c r="C726" i="2"/>
  <c r="K701" i="2"/>
  <c r="K806" i="2" s="1"/>
  <c r="J701" i="2"/>
  <c r="J806" i="2" s="1"/>
  <c r="I701" i="2"/>
  <c r="I806" i="2" s="1"/>
  <c r="H701" i="2"/>
  <c r="H806" i="2" s="1"/>
  <c r="G701" i="2"/>
  <c r="G806" i="2" s="1"/>
  <c r="F701" i="2"/>
  <c r="F806" i="2" s="1"/>
  <c r="E701" i="2"/>
  <c r="E806" i="2" s="1"/>
  <c r="D701" i="2"/>
  <c r="C701" i="2"/>
  <c r="K676" i="2"/>
  <c r="J676" i="2"/>
  <c r="I676" i="2"/>
  <c r="H676" i="2"/>
  <c r="H805" i="2" s="1"/>
  <c r="G676" i="2"/>
  <c r="G805" i="2" s="1"/>
  <c r="F676" i="2"/>
  <c r="F805" i="2" s="1"/>
  <c r="E676" i="2"/>
  <c r="E805" i="2" s="1"/>
  <c r="D676" i="2"/>
  <c r="D805" i="2" s="1"/>
  <c r="C676" i="2"/>
  <c r="C805" i="2" s="1"/>
  <c r="K651" i="2"/>
  <c r="K804" i="2" s="1"/>
  <c r="J651" i="2"/>
  <c r="I651" i="2"/>
  <c r="H651" i="2"/>
  <c r="G651" i="2"/>
  <c r="F651" i="2"/>
  <c r="E651" i="2"/>
  <c r="E804" i="2" s="1"/>
  <c r="D651" i="2"/>
  <c r="D804" i="2" s="1"/>
  <c r="C651" i="2"/>
  <c r="C804" i="2" s="1"/>
  <c r="K626" i="2"/>
  <c r="K803" i="2" s="1"/>
  <c r="J626" i="2"/>
  <c r="J803" i="2" s="1"/>
  <c r="I626" i="2"/>
  <c r="I803" i="2" s="1"/>
  <c r="H626" i="2"/>
  <c r="H803" i="2" s="1"/>
  <c r="G626" i="2"/>
  <c r="G803" i="2" s="1"/>
  <c r="F626" i="2"/>
  <c r="F803" i="2" s="1"/>
  <c r="E626" i="2"/>
  <c r="D626" i="2"/>
  <c r="C626" i="2"/>
  <c r="K601" i="2"/>
  <c r="K802" i="2" s="1"/>
  <c r="J601" i="2"/>
  <c r="J802" i="2" s="1"/>
  <c r="I601" i="2"/>
  <c r="I802" i="2" s="1"/>
  <c r="H601" i="2"/>
  <c r="H802" i="2" s="1"/>
  <c r="G601" i="2"/>
  <c r="G802" i="2" s="1"/>
  <c r="F601" i="2"/>
  <c r="F802" i="2" s="1"/>
  <c r="E601" i="2"/>
  <c r="D601" i="2"/>
  <c r="C601" i="2"/>
  <c r="K576" i="2"/>
  <c r="J576" i="2"/>
  <c r="I576" i="2"/>
  <c r="H576" i="2"/>
  <c r="H801" i="2" s="1"/>
  <c r="G576" i="2"/>
  <c r="G801" i="2" s="1"/>
  <c r="F576" i="2"/>
  <c r="F801" i="2" s="1"/>
  <c r="E576" i="2"/>
  <c r="E801" i="2" s="1"/>
  <c r="D576" i="2"/>
  <c r="D801" i="2" s="1"/>
  <c r="C576" i="2"/>
  <c r="C801" i="2" s="1"/>
  <c r="K551" i="2"/>
  <c r="K800" i="2" s="1"/>
  <c r="J551" i="2"/>
  <c r="J800" i="2" s="1"/>
  <c r="I551" i="2"/>
  <c r="I800" i="2" s="1"/>
  <c r="H551" i="2"/>
  <c r="G551" i="2"/>
  <c r="F551" i="2"/>
  <c r="E551" i="2"/>
  <c r="E800" i="2" s="1"/>
  <c r="D551" i="2"/>
  <c r="D800" i="2" s="1"/>
  <c r="C551" i="2"/>
  <c r="C800" i="2" s="1"/>
  <c r="K526" i="2"/>
  <c r="K799" i="2" s="1"/>
  <c r="J526" i="2"/>
  <c r="J799" i="2" s="1"/>
  <c r="I526" i="2"/>
  <c r="I799" i="2" s="1"/>
  <c r="H526" i="2"/>
  <c r="H799" i="2" s="1"/>
  <c r="G526" i="2"/>
  <c r="F526" i="2"/>
  <c r="E526" i="2"/>
  <c r="D526" i="2"/>
  <c r="C526" i="2"/>
  <c r="K501" i="2"/>
  <c r="K798" i="2" s="1"/>
  <c r="J501" i="2"/>
  <c r="J798" i="2" s="1"/>
  <c r="I501" i="2"/>
  <c r="I798" i="2" s="1"/>
  <c r="H501" i="2"/>
  <c r="H798" i="2" s="1"/>
  <c r="G501" i="2"/>
  <c r="G798" i="2" s="1"/>
  <c r="F501" i="2"/>
  <c r="F798" i="2" s="1"/>
  <c r="E501" i="2"/>
  <c r="E798" i="2" s="1"/>
  <c r="D501" i="2"/>
  <c r="D798" i="2" s="1"/>
  <c r="C501" i="2"/>
  <c r="C798" i="2" s="1"/>
  <c r="K476" i="2"/>
  <c r="J476" i="2"/>
  <c r="I476" i="2"/>
  <c r="H476" i="2"/>
  <c r="H797" i="2" s="1"/>
  <c r="G476" i="2"/>
  <c r="G797" i="2" s="1"/>
  <c r="F476" i="2"/>
  <c r="F797" i="2" s="1"/>
  <c r="E476" i="2"/>
  <c r="E797" i="2" s="1"/>
  <c r="D476" i="2"/>
  <c r="D797" i="2" s="1"/>
  <c r="C476" i="2"/>
  <c r="C797" i="2" s="1"/>
  <c r="K451" i="2"/>
  <c r="K796" i="2" s="1"/>
  <c r="J451" i="2"/>
  <c r="I451" i="2"/>
  <c r="H451" i="2"/>
  <c r="G451" i="2"/>
  <c r="F451" i="2"/>
  <c r="E451" i="2"/>
  <c r="E796" i="2" s="1"/>
  <c r="D451" i="2"/>
  <c r="D796" i="2" s="1"/>
  <c r="C451" i="2"/>
  <c r="C796" i="2" s="1"/>
  <c r="K426" i="2"/>
  <c r="K795" i="2" s="1"/>
  <c r="J426" i="2"/>
  <c r="J795" i="2" s="1"/>
  <c r="I426" i="2"/>
  <c r="I795" i="2" s="1"/>
  <c r="H426" i="2"/>
  <c r="H795" i="2" s="1"/>
  <c r="G426" i="2"/>
  <c r="F426" i="2"/>
  <c r="E426" i="2"/>
  <c r="D426" i="2"/>
  <c r="C426" i="2"/>
  <c r="K401" i="2"/>
  <c r="K794" i="2" s="1"/>
  <c r="J401" i="2"/>
  <c r="J794" i="2" s="1"/>
  <c r="I401" i="2"/>
  <c r="I794" i="2" s="1"/>
  <c r="H401" i="2"/>
  <c r="H794" i="2" s="1"/>
  <c r="G401" i="2"/>
  <c r="G794" i="2" s="1"/>
  <c r="F401" i="2"/>
  <c r="F794" i="2" s="1"/>
  <c r="E401" i="2"/>
  <c r="E794" i="2" s="1"/>
  <c r="D401" i="2"/>
  <c r="D794" i="2" s="1"/>
  <c r="C401" i="2"/>
  <c r="C794" i="2" s="1"/>
  <c r="K376" i="2"/>
  <c r="J376" i="2"/>
  <c r="I376" i="2"/>
  <c r="H376" i="2"/>
  <c r="H793" i="2" s="1"/>
  <c r="G376" i="2"/>
  <c r="G793" i="2" s="1"/>
  <c r="F376" i="2"/>
  <c r="F793" i="2" s="1"/>
  <c r="E376" i="2"/>
  <c r="E793" i="2" s="1"/>
  <c r="D376" i="2"/>
  <c r="D793" i="2" s="1"/>
  <c r="C376" i="2"/>
  <c r="C793" i="2" s="1"/>
  <c r="K351" i="2"/>
  <c r="K792" i="2" s="1"/>
  <c r="J351" i="2"/>
  <c r="I351" i="2"/>
  <c r="H351" i="2"/>
  <c r="G351" i="2"/>
  <c r="F351" i="2"/>
  <c r="E351" i="2"/>
  <c r="E792" i="2" s="1"/>
  <c r="D351" i="2"/>
  <c r="D792" i="2" s="1"/>
  <c r="C351" i="2"/>
  <c r="C792" i="2" s="1"/>
  <c r="K326" i="2"/>
  <c r="K791" i="2" s="1"/>
  <c r="J326" i="2"/>
  <c r="J791" i="2" s="1"/>
  <c r="I326" i="2"/>
  <c r="I791" i="2" s="1"/>
  <c r="H326" i="2"/>
  <c r="H791" i="2" s="1"/>
  <c r="G326" i="2"/>
  <c r="G791" i="2" s="1"/>
  <c r="F326" i="2"/>
  <c r="F791" i="2" s="1"/>
  <c r="E326" i="2"/>
  <c r="D326" i="2"/>
  <c r="C326" i="2"/>
  <c r="K301" i="2"/>
  <c r="K790" i="2" s="1"/>
  <c r="J301" i="2"/>
  <c r="J790" i="2" s="1"/>
  <c r="I301" i="2"/>
  <c r="I790" i="2" s="1"/>
  <c r="H301" i="2"/>
  <c r="H790" i="2" s="1"/>
  <c r="G301" i="2"/>
  <c r="G790" i="2" s="1"/>
  <c r="F301" i="2"/>
  <c r="F790" i="2" s="1"/>
  <c r="E301" i="2"/>
  <c r="E790" i="2" s="1"/>
  <c r="D301" i="2"/>
  <c r="C301" i="2"/>
  <c r="K276" i="2"/>
  <c r="J276" i="2"/>
  <c r="I276" i="2"/>
  <c r="H276" i="2"/>
  <c r="H789" i="2" s="1"/>
  <c r="G276" i="2"/>
  <c r="G789" i="2" s="1"/>
  <c r="F276" i="2"/>
  <c r="F789" i="2" s="1"/>
  <c r="E276" i="2"/>
  <c r="E789" i="2" s="1"/>
  <c r="D276" i="2"/>
  <c r="D789" i="2" s="1"/>
  <c r="C276" i="2"/>
  <c r="C789" i="2" s="1"/>
  <c r="K251" i="2"/>
  <c r="K788" i="2" s="1"/>
  <c r="J251" i="2"/>
  <c r="I251" i="2"/>
  <c r="I788" i="2" s="1"/>
  <c r="H251" i="2"/>
  <c r="G251" i="2"/>
  <c r="F251" i="2"/>
  <c r="E251" i="2"/>
  <c r="E788" i="2" s="1"/>
  <c r="D251" i="2"/>
  <c r="D788" i="2" s="1"/>
  <c r="C251" i="2"/>
  <c r="C788" i="2" s="1"/>
  <c r="K226" i="2"/>
  <c r="K787" i="2" s="1"/>
  <c r="J226" i="2"/>
  <c r="J787" i="2" s="1"/>
  <c r="I226" i="2"/>
  <c r="I787" i="2" s="1"/>
  <c r="H226" i="2"/>
  <c r="H787" i="2" s="1"/>
  <c r="G226" i="2"/>
  <c r="F226" i="2"/>
  <c r="E226" i="2"/>
  <c r="D226" i="2"/>
  <c r="C226" i="2"/>
  <c r="K201" i="2"/>
  <c r="K786" i="2" s="1"/>
  <c r="J201" i="2"/>
  <c r="J786" i="2" s="1"/>
  <c r="I201" i="2"/>
  <c r="I786" i="2" s="1"/>
  <c r="H201" i="2"/>
  <c r="H786" i="2" s="1"/>
  <c r="G201" i="2"/>
  <c r="G786" i="2" s="1"/>
  <c r="F201" i="2"/>
  <c r="F786" i="2" s="1"/>
  <c r="E201" i="2"/>
  <c r="E786" i="2" s="1"/>
  <c r="D201" i="2"/>
  <c r="C201" i="2"/>
  <c r="K176" i="2"/>
  <c r="J176" i="2"/>
  <c r="I176" i="2"/>
  <c r="H176" i="2"/>
  <c r="H785" i="2" s="1"/>
  <c r="G176" i="2"/>
  <c r="G785" i="2" s="1"/>
  <c r="F176" i="2"/>
  <c r="F785" i="2" s="1"/>
  <c r="E176" i="2"/>
  <c r="E785" i="2" s="1"/>
  <c r="D176" i="2"/>
  <c r="D785" i="2" s="1"/>
  <c r="C176" i="2"/>
  <c r="C785" i="2" s="1"/>
  <c r="K151" i="2"/>
  <c r="K784" i="2" s="1"/>
  <c r="J151" i="2"/>
  <c r="J784" i="2" s="1"/>
  <c r="I151" i="2"/>
  <c r="I784" i="2" s="1"/>
  <c r="H151" i="2"/>
  <c r="G151" i="2"/>
  <c r="F151" i="2"/>
  <c r="E151" i="2"/>
  <c r="E784" i="2" s="1"/>
  <c r="D151" i="2"/>
  <c r="D784" i="2" s="1"/>
  <c r="C151" i="2"/>
  <c r="C784" i="2" s="1"/>
  <c r="K126" i="2"/>
  <c r="K783" i="2" s="1"/>
  <c r="J126" i="2"/>
  <c r="J783" i="2" s="1"/>
  <c r="I126" i="2"/>
  <c r="I783" i="2" s="1"/>
  <c r="H126" i="2"/>
  <c r="H783" i="2" s="1"/>
  <c r="G126" i="2"/>
  <c r="F126" i="2"/>
  <c r="E126" i="2"/>
  <c r="D126" i="2"/>
  <c r="C126" i="2"/>
  <c r="K101" i="2"/>
  <c r="K782" i="2" s="1"/>
  <c r="J101" i="2"/>
  <c r="J782" i="2" s="1"/>
  <c r="I101" i="2"/>
  <c r="I782" i="2" s="1"/>
  <c r="H101" i="2"/>
  <c r="H782" i="2" s="1"/>
  <c r="G101" i="2"/>
  <c r="G782" i="2" s="1"/>
  <c r="F101" i="2"/>
  <c r="F782" i="2" s="1"/>
  <c r="E101" i="2"/>
  <c r="E782" i="2" s="1"/>
  <c r="D101" i="2"/>
  <c r="D782" i="2" s="1"/>
  <c r="C101" i="2"/>
  <c r="C782" i="2" s="1"/>
  <c r="K76" i="2"/>
  <c r="J76" i="2"/>
  <c r="I76" i="2"/>
  <c r="H76" i="2"/>
  <c r="H781" i="2" s="1"/>
  <c r="G76" i="2"/>
  <c r="G781" i="2" s="1"/>
  <c r="F76" i="2"/>
  <c r="F781" i="2" s="1"/>
  <c r="E76" i="2"/>
  <c r="E781" i="2" s="1"/>
  <c r="D76" i="2"/>
  <c r="D781" i="2" s="1"/>
  <c r="C76" i="2"/>
  <c r="C781" i="2" s="1"/>
  <c r="K51" i="2"/>
  <c r="J51" i="2"/>
  <c r="I51" i="2"/>
  <c r="H51" i="2"/>
  <c r="G51" i="2"/>
  <c r="F51" i="2"/>
  <c r="E51" i="2"/>
  <c r="E780" i="2" s="1"/>
  <c r="D51" i="2"/>
  <c r="D780" i="2" s="1"/>
  <c r="C51" i="2"/>
  <c r="C780" i="2" s="1"/>
  <c r="K26" i="2"/>
  <c r="K779" i="2" s="1"/>
  <c r="K810" i="2" s="1"/>
  <c r="J26" i="2"/>
  <c r="J779" i="2" s="1"/>
  <c r="I26" i="2"/>
  <c r="I779" i="2" s="1"/>
  <c r="H26" i="2"/>
  <c r="G26" i="2"/>
  <c r="G779" i="2" s="1"/>
  <c r="G810" i="2" s="1"/>
  <c r="F26" i="2"/>
  <c r="F779" i="2" s="1"/>
  <c r="F810" i="2" s="1"/>
  <c r="E26" i="2"/>
  <c r="D26" i="2"/>
  <c r="C26" i="2"/>
  <c r="C776" i="1"/>
  <c r="C809" i="1" s="1"/>
  <c r="D776" i="1"/>
  <c r="E776" i="1"/>
  <c r="E809" i="1" s="1"/>
  <c r="F776" i="1"/>
  <c r="F809" i="1" s="1"/>
  <c r="G776" i="1"/>
  <c r="G809" i="1" s="1"/>
  <c r="H776" i="1"/>
  <c r="H809" i="1" s="1"/>
  <c r="I776" i="1"/>
  <c r="I809" i="1" s="1"/>
  <c r="J776" i="1"/>
  <c r="J809" i="1" s="1"/>
  <c r="K776" i="1"/>
  <c r="K809" i="1" s="1"/>
  <c r="C751" i="1"/>
  <c r="C808" i="1" s="1"/>
  <c r="D751" i="1"/>
  <c r="E751" i="1"/>
  <c r="F751" i="1"/>
  <c r="G751" i="1"/>
  <c r="G808" i="1" s="1"/>
  <c r="H751" i="1"/>
  <c r="I751" i="1"/>
  <c r="J751" i="1"/>
  <c r="J808" i="1" s="1"/>
  <c r="K751" i="1"/>
  <c r="K808" i="1" s="1"/>
  <c r="C726" i="1"/>
  <c r="C807" i="1" s="1"/>
  <c r="D726" i="1"/>
  <c r="D807" i="1" s="1"/>
  <c r="E726" i="1"/>
  <c r="F726" i="1"/>
  <c r="G726" i="1"/>
  <c r="G807" i="1" s="1"/>
  <c r="H726" i="1"/>
  <c r="H807" i="1" s="1"/>
  <c r="I726" i="1"/>
  <c r="I807" i="1" s="1"/>
  <c r="J726" i="1"/>
  <c r="J807" i="1" s="1"/>
  <c r="K726" i="1"/>
  <c r="K807" i="1" s="1"/>
  <c r="C701" i="1"/>
  <c r="C806" i="1" s="1"/>
  <c r="D701" i="1"/>
  <c r="D806" i="1" s="1"/>
  <c r="E701" i="1"/>
  <c r="E806" i="1" s="1"/>
  <c r="F701" i="1"/>
  <c r="G701" i="1"/>
  <c r="H701" i="1"/>
  <c r="I701" i="1"/>
  <c r="J701" i="1"/>
  <c r="J806" i="1" s="1"/>
  <c r="K701" i="1"/>
  <c r="K806" i="1" s="1"/>
  <c r="C676" i="1"/>
  <c r="D676" i="1"/>
  <c r="D805" i="1" s="1"/>
  <c r="E676" i="1"/>
  <c r="E805" i="1" s="1"/>
  <c r="F676" i="1"/>
  <c r="F805" i="1" s="1"/>
  <c r="G676" i="1"/>
  <c r="G805" i="1" s="1"/>
  <c r="H676" i="1"/>
  <c r="H805" i="1" s="1"/>
  <c r="I676" i="1"/>
  <c r="J676" i="1"/>
  <c r="J805" i="1" s="1"/>
  <c r="K676" i="1"/>
  <c r="K805" i="1" s="1"/>
  <c r="C651" i="1"/>
  <c r="C804" i="1" s="1"/>
  <c r="D651" i="1"/>
  <c r="E651" i="1"/>
  <c r="F651" i="1"/>
  <c r="F804" i="1" s="1"/>
  <c r="G651" i="1"/>
  <c r="G804" i="1" s="1"/>
  <c r="H651" i="1"/>
  <c r="H804" i="1" s="1"/>
  <c r="I651" i="1"/>
  <c r="I804" i="1" s="1"/>
  <c r="J651" i="1"/>
  <c r="J804" i="1" s="1"/>
  <c r="K651" i="1"/>
  <c r="K804" i="1" s="1"/>
  <c r="C626" i="1"/>
  <c r="D626" i="1"/>
  <c r="E626" i="1"/>
  <c r="E803" i="1" s="1"/>
  <c r="F626" i="1"/>
  <c r="F803" i="1" s="1"/>
  <c r="G626" i="1"/>
  <c r="G803" i="1" s="1"/>
  <c r="H626" i="1"/>
  <c r="H803" i="1" s="1"/>
  <c r="I626" i="1"/>
  <c r="I803" i="1" s="1"/>
  <c r="J626" i="1"/>
  <c r="J803" i="1" s="1"/>
  <c r="K626" i="1"/>
  <c r="K803" i="1" s="1"/>
  <c r="C601" i="1"/>
  <c r="D601" i="1"/>
  <c r="E601" i="1"/>
  <c r="E802" i="1" s="1"/>
  <c r="F601" i="1"/>
  <c r="G601" i="1"/>
  <c r="G802" i="1" s="1"/>
  <c r="H601" i="1"/>
  <c r="I601" i="1"/>
  <c r="I802" i="1" s="1"/>
  <c r="J601" i="1"/>
  <c r="J802" i="1" s="1"/>
  <c r="K601" i="1"/>
  <c r="C576" i="1"/>
  <c r="C801" i="1" s="1"/>
  <c r="D576" i="1"/>
  <c r="D801" i="1" s="1"/>
  <c r="E576" i="1"/>
  <c r="E801" i="1" s="1"/>
  <c r="F576" i="1"/>
  <c r="F801" i="1" s="1"/>
  <c r="G576" i="1"/>
  <c r="G801" i="1" s="1"/>
  <c r="H576" i="1"/>
  <c r="H801" i="1" s="1"/>
  <c r="I576" i="1"/>
  <c r="I801" i="1" s="1"/>
  <c r="J576" i="1"/>
  <c r="J801" i="1" s="1"/>
  <c r="K576" i="1"/>
  <c r="C551" i="1"/>
  <c r="C800" i="1" s="1"/>
  <c r="D551" i="1"/>
  <c r="D800" i="1" s="1"/>
  <c r="E551" i="1"/>
  <c r="E800" i="1" s="1"/>
  <c r="F551" i="1"/>
  <c r="F800" i="1" s="1"/>
  <c r="G551" i="1"/>
  <c r="G800" i="1" s="1"/>
  <c r="H551" i="1"/>
  <c r="H800" i="1" s="1"/>
  <c r="I551" i="1"/>
  <c r="J551" i="1"/>
  <c r="K551" i="1"/>
  <c r="K800" i="1" s="1"/>
  <c r="C526" i="1"/>
  <c r="C799" i="1" s="1"/>
  <c r="D526" i="1"/>
  <c r="E526" i="1"/>
  <c r="E799" i="1" s="1"/>
  <c r="F526" i="1"/>
  <c r="F799" i="1" s="1"/>
  <c r="G526" i="1"/>
  <c r="G799" i="1" s="1"/>
  <c r="H526" i="1"/>
  <c r="I526" i="1"/>
  <c r="J526" i="1"/>
  <c r="K526" i="1"/>
  <c r="K799" i="1" s="1"/>
  <c r="C501" i="1"/>
  <c r="D501" i="1"/>
  <c r="E501" i="1"/>
  <c r="E798" i="1" s="1"/>
  <c r="F501" i="1"/>
  <c r="F798" i="1" s="1"/>
  <c r="G501" i="1"/>
  <c r="G798" i="1" s="1"/>
  <c r="H501" i="1"/>
  <c r="H798" i="1" s="1"/>
  <c r="I501" i="1"/>
  <c r="I798" i="1" s="1"/>
  <c r="J501" i="1"/>
  <c r="J798" i="1" s="1"/>
  <c r="K501" i="1"/>
  <c r="K798" i="1" s="1"/>
  <c r="C476" i="1"/>
  <c r="C797" i="1" s="1"/>
  <c r="D476" i="1"/>
  <c r="D797" i="1" s="1"/>
  <c r="E476" i="1"/>
  <c r="E797" i="1" s="1"/>
  <c r="F476" i="1"/>
  <c r="F797" i="1" s="1"/>
  <c r="G476" i="1"/>
  <c r="G797" i="1" s="1"/>
  <c r="H476" i="1"/>
  <c r="H797" i="1" s="1"/>
  <c r="I476" i="1"/>
  <c r="J476" i="1"/>
  <c r="J797" i="1" s="1"/>
  <c r="K476" i="1"/>
  <c r="K797" i="1" s="1"/>
  <c r="C451" i="1"/>
  <c r="D451" i="1"/>
  <c r="E451" i="1"/>
  <c r="F451" i="1"/>
  <c r="F796" i="1" s="1"/>
  <c r="G451" i="1"/>
  <c r="H451" i="1"/>
  <c r="H796" i="1" s="1"/>
  <c r="I451" i="1"/>
  <c r="I796" i="1" s="1"/>
  <c r="J451" i="1"/>
  <c r="J796" i="1" s="1"/>
  <c r="K451" i="1"/>
  <c r="K796" i="1" s="1"/>
  <c r="C426" i="1"/>
  <c r="C795" i="1" s="1"/>
  <c r="D426" i="1"/>
  <c r="E426" i="1"/>
  <c r="F426" i="1"/>
  <c r="F795" i="1" s="1"/>
  <c r="G426" i="1"/>
  <c r="H426" i="1"/>
  <c r="I426" i="1"/>
  <c r="J426" i="1"/>
  <c r="K426" i="1"/>
  <c r="C401" i="1"/>
  <c r="D401" i="1"/>
  <c r="D794" i="1" s="1"/>
  <c r="E401" i="1"/>
  <c r="E794" i="1" s="1"/>
  <c r="F401" i="1"/>
  <c r="F794" i="1" s="1"/>
  <c r="G401" i="1"/>
  <c r="G794" i="1" s="1"/>
  <c r="H401" i="1"/>
  <c r="I401" i="1"/>
  <c r="J401" i="1"/>
  <c r="J794" i="1" s="1"/>
  <c r="K401" i="1"/>
  <c r="K794" i="1" s="1"/>
  <c r="C376" i="1"/>
  <c r="C793" i="1" s="1"/>
  <c r="D376" i="1"/>
  <c r="D793" i="1" s="1"/>
  <c r="E376" i="1"/>
  <c r="E793" i="1" s="1"/>
  <c r="F376" i="1"/>
  <c r="F793" i="1" s="1"/>
  <c r="G376" i="1"/>
  <c r="G793" i="1" s="1"/>
  <c r="H376" i="1"/>
  <c r="H793" i="1" s="1"/>
  <c r="I376" i="1"/>
  <c r="I793" i="1" s="1"/>
  <c r="J376" i="1"/>
  <c r="J793" i="1" s="1"/>
  <c r="K376" i="1"/>
  <c r="K793" i="1" s="1"/>
  <c r="C351" i="1"/>
  <c r="D351" i="1"/>
  <c r="E351" i="1"/>
  <c r="E792" i="1" s="1"/>
  <c r="F351" i="1"/>
  <c r="G351" i="1"/>
  <c r="G792" i="1" s="1"/>
  <c r="H351" i="1"/>
  <c r="H792" i="1" s="1"/>
  <c r="I351" i="1"/>
  <c r="I792" i="1" s="1"/>
  <c r="J351" i="1"/>
  <c r="J792" i="1" s="1"/>
  <c r="K351" i="1"/>
  <c r="K792" i="1" s="1"/>
  <c r="C326" i="1"/>
  <c r="D326" i="1"/>
  <c r="D791" i="1" s="1"/>
  <c r="E326" i="1"/>
  <c r="E791" i="1" s="1"/>
  <c r="F326" i="1"/>
  <c r="G326" i="1"/>
  <c r="H326" i="1"/>
  <c r="H791" i="1" s="1"/>
  <c r="I326" i="1"/>
  <c r="I791" i="1" s="1"/>
  <c r="J326" i="1"/>
  <c r="J791" i="1" s="1"/>
  <c r="K326" i="1"/>
  <c r="K791" i="1" s="1"/>
  <c r="C301" i="1"/>
  <c r="D301" i="1"/>
  <c r="D790" i="1" s="1"/>
  <c r="E301" i="1"/>
  <c r="E790" i="1" s="1"/>
  <c r="F301" i="1"/>
  <c r="F790" i="1" s="1"/>
  <c r="G301" i="1"/>
  <c r="G790" i="1" s="1"/>
  <c r="H301" i="1"/>
  <c r="H790" i="1" s="1"/>
  <c r="I301" i="1"/>
  <c r="I790" i="1" s="1"/>
  <c r="J301" i="1"/>
  <c r="J790" i="1" s="1"/>
  <c r="K301" i="1"/>
  <c r="K790" i="1" s="1"/>
  <c r="C276" i="1"/>
  <c r="D276" i="1"/>
  <c r="E276" i="1"/>
  <c r="E789" i="1" s="1"/>
  <c r="F276" i="1"/>
  <c r="F789" i="1" s="1"/>
  <c r="G276" i="1"/>
  <c r="G789" i="1" s="1"/>
  <c r="H276" i="1"/>
  <c r="H789" i="1" s="1"/>
  <c r="I276" i="1"/>
  <c r="I789" i="1" s="1"/>
  <c r="J276" i="1"/>
  <c r="K276" i="1"/>
  <c r="C251" i="1"/>
  <c r="C788" i="1" s="1"/>
  <c r="D251" i="1"/>
  <c r="D788" i="1" s="1"/>
  <c r="E251" i="1"/>
  <c r="E788" i="1" s="1"/>
  <c r="F251" i="1"/>
  <c r="G251" i="1"/>
  <c r="G788" i="1" s="1"/>
  <c r="H251" i="1"/>
  <c r="H788" i="1" s="1"/>
  <c r="I251" i="1"/>
  <c r="I788" i="1" s="1"/>
  <c r="J251" i="1"/>
  <c r="J788" i="1" s="1"/>
  <c r="K251" i="1"/>
  <c r="K788" i="1" s="1"/>
  <c r="C226" i="1"/>
  <c r="C787" i="1" s="1"/>
  <c r="D226" i="1"/>
  <c r="E226" i="1"/>
  <c r="F226" i="1"/>
  <c r="G226" i="1"/>
  <c r="H226" i="1"/>
  <c r="H787" i="1" s="1"/>
  <c r="I226" i="1"/>
  <c r="I787" i="1" s="1"/>
  <c r="J226" i="1"/>
  <c r="J787" i="1" s="1"/>
  <c r="K226" i="1"/>
  <c r="K787" i="1" s="1"/>
  <c r="C201" i="1"/>
  <c r="C786" i="1" s="1"/>
  <c r="D201" i="1"/>
  <c r="D786" i="1" s="1"/>
  <c r="E201" i="1"/>
  <c r="E786" i="1" s="1"/>
  <c r="F201" i="1"/>
  <c r="F786" i="1" s="1"/>
  <c r="G201" i="1"/>
  <c r="G786" i="1" s="1"/>
  <c r="H201" i="1"/>
  <c r="H786" i="1" s="1"/>
  <c r="I201" i="1"/>
  <c r="J201" i="1"/>
  <c r="K201" i="1"/>
  <c r="C176" i="1"/>
  <c r="D176" i="1"/>
  <c r="D785" i="1" s="1"/>
  <c r="E176" i="1"/>
  <c r="F176" i="1"/>
  <c r="F785" i="1" s="1"/>
  <c r="G176" i="1"/>
  <c r="G785" i="1" s="1"/>
  <c r="H176" i="1"/>
  <c r="H785" i="1" s="1"/>
  <c r="I176" i="1"/>
  <c r="I785" i="1" s="1"/>
  <c r="J176" i="1"/>
  <c r="K176" i="1"/>
  <c r="C151" i="1"/>
  <c r="C784" i="1" s="1"/>
  <c r="D151" i="1"/>
  <c r="E151" i="1"/>
  <c r="F151" i="1"/>
  <c r="F784" i="1" s="1"/>
  <c r="G151" i="1"/>
  <c r="G784" i="1" s="1"/>
  <c r="H151" i="1"/>
  <c r="I151" i="1"/>
  <c r="J151" i="1"/>
  <c r="J784" i="1" s="1"/>
  <c r="K151" i="1"/>
  <c r="C126" i="1"/>
  <c r="D126" i="1"/>
  <c r="E126" i="1"/>
  <c r="E783" i="1" s="1"/>
  <c r="F126" i="1"/>
  <c r="F783" i="1" s="1"/>
  <c r="G126" i="1"/>
  <c r="G783" i="1" s="1"/>
  <c r="H126" i="1"/>
  <c r="H783" i="1" s="1"/>
  <c r="I126" i="1"/>
  <c r="I783" i="1" s="1"/>
  <c r="J126" i="1"/>
  <c r="J783" i="1" s="1"/>
  <c r="K126" i="1"/>
  <c r="K783" i="1" s="1"/>
  <c r="C101" i="1"/>
  <c r="C782" i="1" s="1"/>
  <c r="D101" i="1"/>
  <c r="D782" i="1" s="1"/>
  <c r="E101" i="1"/>
  <c r="F101" i="1"/>
  <c r="G101" i="1"/>
  <c r="H101" i="1"/>
  <c r="H782" i="1" s="1"/>
  <c r="I101" i="1"/>
  <c r="I782" i="1" s="1"/>
  <c r="J101" i="1"/>
  <c r="J782" i="1" s="1"/>
  <c r="K101" i="1"/>
  <c r="K782" i="1" s="1"/>
  <c r="C76" i="1"/>
  <c r="D76" i="1"/>
  <c r="D781" i="1" s="1"/>
  <c r="E76" i="1"/>
  <c r="E781" i="1" s="1"/>
  <c r="F76" i="1"/>
  <c r="F781" i="1" s="1"/>
  <c r="G76" i="1"/>
  <c r="G781" i="1" s="1"/>
  <c r="H76" i="1"/>
  <c r="H781" i="1" s="1"/>
  <c r="I76" i="1"/>
  <c r="I781" i="1" s="1"/>
  <c r="J76" i="1"/>
  <c r="J781" i="1" s="1"/>
  <c r="K76" i="1"/>
  <c r="K781" i="1" s="1"/>
  <c r="C51" i="1"/>
  <c r="C780" i="1" s="1"/>
  <c r="D51" i="1"/>
  <c r="D780" i="1" s="1"/>
  <c r="E51" i="1"/>
  <c r="E780" i="1" s="1"/>
  <c r="F51" i="1"/>
  <c r="F780" i="1" s="1"/>
  <c r="G51" i="1"/>
  <c r="G780" i="1" s="1"/>
  <c r="H51" i="1"/>
  <c r="H780" i="1" s="1"/>
  <c r="I51" i="1"/>
  <c r="I780" i="1" s="1"/>
  <c r="J51" i="1"/>
  <c r="J780" i="1" s="1"/>
  <c r="K51" i="1"/>
  <c r="K780" i="1" s="1"/>
  <c r="C26" i="1"/>
  <c r="C779" i="1" s="1"/>
  <c r="D26" i="1"/>
  <c r="D779" i="1" s="1"/>
  <c r="E26" i="1"/>
  <c r="E779" i="1" s="1"/>
  <c r="F26" i="1"/>
  <c r="G26" i="1"/>
  <c r="H26" i="1"/>
  <c r="H779" i="1" s="1"/>
  <c r="I26" i="1"/>
  <c r="J26" i="1"/>
  <c r="K26" i="1"/>
  <c r="D808" i="1"/>
  <c r="H808" i="1"/>
  <c r="I808" i="1"/>
  <c r="H806" i="1"/>
  <c r="I806" i="1"/>
  <c r="I805" i="1"/>
  <c r="E804" i="1"/>
  <c r="C803" i="1"/>
  <c r="H802" i="1"/>
  <c r="K802" i="1"/>
  <c r="J800" i="1"/>
  <c r="C798" i="1"/>
  <c r="I797" i="1"/>
  <c r="C796" i="1"/>
  <c r="G796" i="1"/>
  <c r="J795" i="1"/>
  <c r="C794" i="1"/>
  <c r="H794" i="1"/>
  <c r="I794" i="1"/>
  <c r="F792" i="1"/>
  <c r="F791" i="1"/>
  <c r="J789" i="1"/>
  <c r="F788" i="1"/>
  <c r="I786" i="1"/>
  <c r="J786" i="1"/>
  <c r="K786" i="1"/>
  <c r="J785" i="1"/>
  <c r="H784" i="1"/>
  <c r="I784" i="1"/>
  <c r="K784" i="1"/>
  <c r="G779" i="1"/>
  <c r="I779" i="1"/>
  <c r="J779" i="1"/>
  <c r="K779" i="1"/>
  <c r="F806" i="1"/>
  <c r="G806" i="1"/>
  <c r="K801" i="1"/>
  <c r="H799" i="1"/>
  <c r="I799" i="1"/>
  <c r="J799" i="1"/>
  <c r="G795" i="1"/>
  <c r="H795" i="1"/>
  <c r="I795" i="1"/>
  <c r="K795" i="1"/>
  <c r="G791" i="1"/>
  <c r="K789" i="1"/>
  <c r="K785" i="1"/>
  <c r="D784" i="1"/>
  <c r="E784" i="1"/>
  <c r="F782" i="1"/>
  <c r="F779" i="1"/>
  <c r="E807" i="1"/>
  <c r="F807" i="1"/>
  <c r="C805" i="1"/>
  <c r="C802" i="1"/>
  <c r="C783" i="1"/>
  <c r="D783" i="1"/>
  <c r="E782" i="1"/>
  <c r="F808" i="1"/>
  <c r="I800" i="1"/>
  <c r="D799" i="1"/>
  <c r="D798" i="1"/>
  <c r="D796" i="1"/>
  <c r="D795" i="1"/>
  <c r="C792" i="1"/>
  <c r="D792" i="1"/>
  <c r="C791" i="1"/>
  <c r="C790" i="1"/>
  <c r="C789" i="1"/>
  <c r="D789" i="1"/>
  <c r="D787" i="1"/>
  <c r="C781" i="1"/>
  <c r="D809" i="1"/>
  <c r="E808" i="1"/>
  <c r="D804" i="1"/>
  <c r="D803" i="1"/>
  <c r="D802" i="1"/>
  <c r="E795" i="1"/>
  <c r="E787" i="1"/>
  <c r="C785" i="1"/>
  <c r="E785" i="1"/>
  <c r="F787" i="1"/>
  <c r="G787" i="1"/>
  <c r="G782" i="1"/>
  <c r="F802" i="1"/>
  <c r="E796" i="1"/>
  <c r="J810" i="1" l="1"/>
  <c r="K810" i="1"/>
  <c r="G810" i="1"/>
  <c r="F810" i="1"/>
  <c r="I810" i="1"/>
  <c r="H810" i="1"/>
  <c r="E810" i="1"/>
  <c r="D810" i="1"/>
  <c r="C810" i="1"/>
  <c r="C810" i="2"/>
  <c r="D810" i="2"/>
  <c r="E810" i="2"/>
  <c r="H810" i="2"/>
  <c r="I810" i="2"/>
  <c r="J810" i="2"/>
</calcChain>
</file>

<file path=xl/sharedStrings.xml><?xml version="1.0" encoding="utf-8"?>
<sst xmlns="http://schemas.openxmlformats.org/spreadsheetml/2006/main" count="132" uniqueCount="75">
  <si>
    <t>Cod : FPO-78-03,rev 0</t>
  </si>
  <si>
    <t>Data_introducere</t>
  </si>
  <si>
    <t>SO2</t>
  </si>
  <si>
    <t>Nox</t>
  </si>
  <si>
    <t>Pulberi</t>
  </si>
  <si>
    <t>CO</t>
  </si>
  <si>
    <t>O2</t>
  </si>
  <si>
    <t>Debit</t>
  </si>
  <si>
    <t>Presiune</t>
  </si>
  <si>
    <t>Temperatura</t>
  </si>
  <si>
    <t>Umiditate mas</t>
  </si>
  <si>
    <t>Ora</t>
  </si>
  <si>
    <t>media 01/01/2026</t>
  </si>
  <si>
    <t>media 02/01/2026</t>
  </si>
  <si>
    <t>media 03/01/2026</t>
  </si>
  <si>
    <t>media 04/01/2026</t>
  </si>
  <si>
    <t>media 05/01/2026</t>
  </si>
  <si>
    <t>media 06/01/2026</t>
  </si>
  <si>
    <t>media 07/01/2026</t>
  </si>
  <si>
    <t>media 08/01/2026</t>
  </si>
  <si>
    <t>media 09/01/2026</t>
  </si>
  <si>
    <t>media 10/01/2026</t>
  </si>
  <si>
    <t>media 11/01/2026</t>
  </si>
  <si>
    <t>media 12/01/2026</t>
  </si>
  <si>
    <t>media 13/01/2026</t>
  </si>
  <si>
    <t>media 14/01/2026</t>
  </si>
  <si>
    <t>media 15/01/2026</t>
  </si>
  <si>
    <t>media 16/01/2026</t>
  </si>
  <si>
    <t>media 17/01/2026</t>
  </si>
  <si>
    <t>media 18/01/2026</t>
  </si>
  <si>
    <t>media 19/01/2026</t>
  </si>
  <si>
    <t>media 20/01/2026</t>
  </si>
  <si>
    <t>media 21/01/2026</t>
  </si>
  <si>
    <t>media 22/01/2026</t>
  </si>
  <si>
    <t>media 23/01/2026</t>
  </si>
  <si>
    <t>media 24/01/2026</t>
  </si>
  <si>
    <t>media 25/01/2026</t>
  </si>
  <si>
    <t>media 26/01/2026</t>
  </si>
  <si>
    <t>media 27/01/2026</t>
  </si>
  <si>
    <t>media 28/01/2026</t>
  </si>
  <si>
    <t>media 29/01/2026</t>
  </si>
  <si>
    <t>media 30/01/2026</t>
  </si>
  <si>
    <t>media 31/01/2026</t>
  </si>
  <si>
    <t>Raportare lunara cu valori medii zilnice a emisiilor preluate din SAM de la IA 1 - CTE Progresu - Ianuarie 2026</t>
  </si>
  <si>
    <t>Ianuarie 2026</t>
  </si>
  <si>
    <t>media 01/02/2026</t>
  </si>
  <si>
    <t>media 02/02/2026</t>
  </si>
  <si>
    <t>media 03/02/2026</t>
  </si>
  <si>
    <t>media 04/02/2026</t>
  </si>
  <si>
    <t>media 05/02/2026</t>
  </si>
  <si>
    <t>media 06/02/2026</t>
  </si>
  <si>
    <t>media 07/02/2026</t>
  </si>
  <si>
    <t>media 08/02/2026</t>
  </si>
  <si>
    <t>media 09/02/2026</t>
  </si>
  <si>
    <t>media 10/02/2026</t>
  </si>
  <si>
    <t>media 11/02/2026</t>
  </si>
  <si>
    <t>media 12/02/2026</t>
  </si>
  <si>
    <t>media 13/02/2026</t>
  </si>
  <si>
    <t>media 14/02/2026</t>
  </si>
  <si>
    <t>media 15/02/2026</t>
  </si>
  <si>
    <t>media 16/02/2026</t>
  </si>
  <si>
    <t>media 17/02/2026</t>
  </si>
  <si>
    <t>media 18/02/2026</t>
  </si>
  <si>
    <t>media 19/02/2026</t>
  </si>
  <si>
    <t>media 20/02/2026</t>
  </si>
  <si>
    <t>media 21/02/2026</t>
  </si>
  <si>
    <t>media 22/02/2026</t>
  </si>
  <si>
    <t>media 23/02/2026</t>
  </si>
  <si>
    <t>media 24/02/2026</t>
  </si>
  <si>
    <t>media 25/02/2026</t>
  </si>
  <si>
    <t>media 26/02/2026</t>
  </si>
  <si>
    <t>media 27/02/2026</t>
  </si>
  <si>
    <t>media 28/02/2026</t>
  </si>
  <si>
    <t>Raportare lunara cu valori medii zilnice a emisiilor preluate din SAM de la IA 1 - CTE Progresu - Februarie 2026</t>
  </si>
  <si>
    <t>Februarie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</si>
</sst>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2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/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20" fontId="0" fillId="0" borderId="0" xfId="0" applyNumberFormat="1"/>
    <xf numFmtId="20" fontId="0" fillId="2" borderId="5" xfId="0" applyNumberFormat="1" applyFill="1" applyBorder="1"/>
    <xf numFmtId="4" fontId="0" fillId="2" borderId="5" xfId="0" applyNumberFormat="1" applyFill="1" applyBorder="1" applyProtection="1">
      <protection locked="0"/>
    </xf>
    <xf numFmtId="4" fontId="2" fillId="2" borderId="5" xfId="0" applyNumberFormat="1" applyFont="1" applyFill="1" applyBorder="1" applyProtection="1">
      <protection locked="0"/>
    </xf>
    <xf numFmtId="4" fontId="0" fillId="2" borderId="6" xfId="0" applyNumberFormat="1" applyFill="1" applyBorder="1" applyProtection="1">
      <protection locked="0"/>
    </xf>
    <xf numFmtId="20" fontId="0" fillId="2" borderId="1" xfId="0" applyNumberFormat="1" applyFill="1" applyBorder="1"/>
    <xf numFmtId="4" fontId="0" fillId="2" borderId="1" xfId="0" applyNumberFormat="1" applyFill="1" applyBorder="1" applyProtection="1">
      <protection locked="0"/>
    </xf>
    <xf numFmtId="4" fontId="2" fillId="2" borderId="1" xfId="0" applyNumberFormat="1" applyFont="1" applyFill="1" applyBorder="1" applyProtection="1">
      <protection locked="0"/>
    </xf>
    <xf numFmtId="4" fontId="0" fillId="2" borderId="8" xfId="0" applyNumberFormat="1" applyFill="1" applyBorder="1" applyProtection="1">
      <protection locked="0"/>
    </xf>
    <xf numFmtId="20" fontId="0" fillId="2" borderId="10" xfId="0" applyNumberFormat="1" applyFill="1" applyBorder="1"/>
    <xf numFmtId="4" fontId="0" fillId="2" borderId="2" xfId="0" applyNumberFormat="1" applyFill="1" applyBorder="1" applyProtection="1">
      <protection locked="0"/>
    </xf>
    <xf numFmtId="4" fontId="2" fillId="2" borderId="2" xfId="0" applyNumberFormat="1" applyFont="1" applyFill="1" applyBorder="1" applyProtection="1">
      <protection locked="0"/>
    </xf>
    <xf numFmtId="4" fontId="0" fillId="2" borderId="16" xfId="0" applyNumberFormat="1" applyFill="1" applyBorder="1" applyProtection="1">
      <protection locked="0"/>
    </xf>
    <xf numFmtId="14" fontId="1" fillId="3" borderId="12" xfId="0" applyNumberFormat="1" applyFont="1" applyFill="1" applyBorder="1" applyProtection="1">
      <protection locked="0"/>
    </xf>
    <xf numFmtId="4" fontId="1" fillId="3" borderId="13" xfId="0" applyNumberFormat="1" applyFont="1" applyFill="1" applyBorder="1" applyProtection="1">
      <protection locked="0"/>
    </xf>
    <xf numFmtId="4" fontId="1" fillId="3" borderId="14" xfId="0" applyNumberFormat="1" applyFont="1" applyFill="1" applyBorder="1" applyProtection="1">
      <protection locked="0"/>
    </xf>
    <xf numFmtId="14" fontId="1" fillId="4" borderId="2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4" fontId="2" fillId="2" borderId="6" xfId="0" applyNumberFormat="1" applyFont="1" applyFill="1" applyBorder="1" applyProtection="1">
      <protection locked="0"/>
    </xf>
    <xf numFmtId="4" fontId="2" fillId="2" borderId="8" xfId="0" applyNumberFormat="1" applyFont="1" applyFill="1" applyBorder="1" applyProtection="1">
      <protection locked="0"/>
    </xf>
    <xf numFmtId="4" fontId="2" fillId="2" borderId="10" xfId="0" applyNumberFormat="1" applyFont="1" applyFill="1" applyBorder="1" applyProtection="1">
      <protection locked="0"/>
    </xf>
    <xf numFmtId="4" fontId="2" fillId="2" borderId="11" xfId="0" applyNumberFormat="1" applyFont="1" applyFill="1" applyBorder="1" applyProtection="1">
      <protection locked="0"/>
    </xf>
    <xf numFmtId="20" fontId="0" fillId="2" borderId="2" xfId="0" applyNumberFormat="1" applyFill="1" applyBorder="1"/>
    <xf numFmtId="4" fontId="2" fillId="2" borderId="16" xfId="0" applyNumberFormat="1" applyFont="1" applyFill="1" applyBorder="1" applyProtection="1">
      <protection locked="0"/>
    </xf>
    <xf numFmtId="0" fontId="1" fillId="3" borderId="19" xfId="0" applyFont="1" applyFill="1" applyBorder="1" applyProtection="1">
      <protection locked="0"/>
    </xf>
    <xf numFmtId="20" fontId="1" fillId="3" borderId="20" xfId="0" applyNumberFormat="1" applyFont="1" applyFill="1" applyBorder="1"/>
    <xf numFmtId="0" fontId="1" fillId="3" borderId="20" xfId="0" applyFont="1" applyFill="1" applyBorder="1"/>
    <xf numFmtId="0" fontId="1" fillId="3" borderId="21" xfId="0" applyFont="1" applyFill="1" applyBorder="1"/>
    <xf numFmtId="14" fontId="1" fillId="3" borderId="9" xfId="0" applyNumberFormat="1" applyFont="1" applyFill="1" applyBorder="1" applyAlignment="1" applyProtection="1">
      <alignment horizontal="center" wrapText="1"/>
      <protection locked="0"/>
    </xf>
    <xf numFmtId="20" fontId="1" fillId="0" borderId="0" xfId="0" applyNumberFormat="1" applyFont="1"/>
    <xf numFmtId="0" fontId="1" fillId="3" borderId="13" xfId="0" applyFont="1" applyFill="1" applyBorder="1" applyProtection="1">
      <protection locked="0"/>
    </xf>
    <xf numFmtId="0" fontId="1" fillId="3" borderId="13" xfId="0" applyFont="1" applyFill="1" applyBorder="1"/>
    <xf numFmtId="4" fontId="1" fillId="3" borderId="13" xfId="0" applyNumberFormat="1" applyFont="1" applyFill="1" applyBorder="1"/>
    <xf numFmtId="4" fontId="1" fillId="3" borderId="14" xfId="0" applyNumberFormat="1" applyFont="1" applyFill="1" applyBorder="1"/>
    <xf numFmtId="14" fontId="0" fillId="2" borderId="3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right" vertical="center"/>
    </xf>
    <xf numFmtId="2" fontId="0" fillId="2" borderId="18" xfId="0" applyNumberFormat="1" applyFill="1" applyBorder="1" applyAlignment="1">
      <alignment horizontal="right" vertic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right" vertical="center"/>
    </xf>
    <xf numFmtId="2" fontId="0" fillId="2" borderId="8" xfId="0" applyNumberFormat="1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right"/>
    </xf>
    <xf numFmtId="2" fontId="0" fillId="2" borderId="8" xfId="0" applyNumberFormat="1" applyFill="1" applyBorder="1" applyAlignment="1">
      <alignment horizontal="right"/>
    </xf>
    <xf numFmtId="14" fontId="1" fillId="3" borderId="10" xfId="0" applyNumberFormat="1" applyFont="1" applyFill="1" applyBorder="1" applyAlignment="1">
      <alignment horizontal="center" wrapText="1"/>
    </xf>
    <xf numFmtId="165" fontId="1" fillId="3" borderId="10" xfId="0" applyNumberFormat="1" applyFont="1" applyFill="1" applyBorder="1" applyAlignment="1">
      <alignment horizontal="right"/>
    </xf>
    <xf numFmtId="14" fontId="0" fillId="2" borderId="4" xfId="0" applyNumberFormat="1" applyFill="1" applyBorder="1" applyProtection="1">
      <protection locked="0"/>
    </xf>
    <xf numFmtId="14" fontId="0" fillId="2" borderId="7" xfId="0" applyNumberFormat="1" applyFill="1" applyBorder="1" applyProtection="1">
      <protection locked="0"/>
    </xf>
    <xf numFmtId="14" fontId="0" fillId="2" borderId="9" xfId="0" applyNumberFormat="1" applyFill="1" applyBorder="1" applyProtection="1">
      <protection locked="0"/>
    </xf>
    <xf numFmtId="14" fontId="0" fillId="2" borderId="15" xfId="0" applyNumberFormat="1" applyFill="1" applyBorder="1" applyProtection="1">
      <protection locked="0"/>
    </xf>
    <xf numFmtId="14" fontId="0" fillId="2" borderId="17" xfId="0" applyNumberFormat="1" applyFill="1" applyBorder="1" applyAlignment="1" applyProtection="1">
      <alignment horizontal="center"/>
      <protection locked="0"/>
    </xf>
    <xf numFmtId="14" fontId="0" fillId="2" borderId="7" xfId="0" applyNumberFormat="1" applyFill="1" applyBorder="1" applyAlignment="1" applyProtection="1">
      <alignment horizontal="center"/>
      <protection locked="0"/>
    </xf>
    <xf numFmtId="165" fontId="1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EDC1645-F931-8C30-D6BD-338C5F1C76FB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2C7F67E8-ACF4-4CEF-81A7-B4C932A526D1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447675</xdr:colOff>
      <xdr:row>1</xdr:row>
      <xdr:rowOff>66675</xdr:rowOff>
    </xdr:from>
    <xdr:to>
      <xdr:col>14</xdr:col>
      <xdr:colOff>314325</xdr:colOff>
      <xdr:row>4</xdr:row>
      <xdr:rowOff>57150</xdr:rowOff>
    </xdr:to>
    <xdr:sp macro="[0]!GenereazaLuna" textlink="">
      <xdr:nvSpPr>
        <xdr:cNvPr id="2" name="Rectangle 1">
          <a:extLst>
            <a:ext uri="{FF2B5EF4-FFF2-40B4-BE49-F238E27FC236}">
              <a16:creationId xmlns:a16="http://schemas.microsoft.com/office/drawing/2014/main" id="{AC9D5A55-991C-4151-AAD5-9AEE9619CE75}"/>
            </a:ext>
          </a:extLst>
        </xdr:cNvPr>
        <xdr:cNvSpPr/>
      </xdr:nvSpPr>
      <xdr:spPr>
        <a:xfrm>
          <a:off x="10687050" y="266700"/>
          <a:ext cx="1695450" cy="561975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  <a:sp3d extrusionH="76200" prstMaterial="softEdge">
          <a:bevelT w="114300" prst="artDeco"/>
          <a:bevelB w="139700" prst="cross"/>
          <a:extrusionClr>
            <a:schemeClr val="accent3">
              <a:lumMod val="50000"/>
            </a:schemeClr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>
            <a:bevelT w="0"/>
            <a:bevelB w="95250" h="88900" prst="riblet"/>
          </a:sp3d>
        </a:bodyPr>
        <a:lstStyle/>
        <a:p>
          <a:pPr algn="l"/>
          <a:r>
            <a:rPr lang="en-US" sz="1400" b="1">
              <a:solidFill>
                <a:srgbClr val="FFFF00"/>
              </a:solidFill>
            </a:rPr>
            <a:t>GENEZEAZA Data_introducere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75"/>
  <sheetViews>
    <sheetView tabSelected="1" workbookViewId="0">
      <pane ySplit="1" topLeftCell="A718" activePane="bottomLeft" state="frozen"/>
      <selection pane="bottomLeft" activeCell="N727" sqref="N727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7">
        <v>46023</v>
      </c>
      <c r="B2" s="14">
        <v>0</v>
      </c>
      <c r="C2" s="15">
        <v>6.88</v>
      </c>
      <c r="D2" s="15">
        <v>69.36</v>
      </c>
      <c r="E2" s="15">
        <v>3.39</v>
      </c>
      <c r="F2" s="15">
        <v>6.22</v>
      </c>
      <c r="G2" s="15">
        <v>17.43</v>
      </c>
      <c r="H2" s="16">
        <v>13.98</v>
      </c>
      <c r="I2" s="16">
        <v>35.619999999999997</v>
      </c>
      <c r="J2" s="16">
        <v>937.95</v>
      </c>
      <c r="K2" s="17">
        <v>918538.66999999993</v>
      </c>
    </row>
    <row r="3" spans="1:12" x14ac:dyDescent="0.25">
      <c r="A3" s="58">
        <v>46023</v>
      </c>
      <c r="B3" s="18">
        <v>4.1666666666666664E-2</v>
      </c>
      <c r="C3" s="19">
        <v>5.91</v>
      </c>
      <c r="D3" s="19">
        <v>70.14</v>
      </c>
      <c r="E3" s="19">
        <v>2.2400000000000002</v>
      </c>
      <c r="F3" s="19">
        <v>3.2</v>
      </c>
      <c r="G3" s="19">
        <v>17.420000000000002</v>
      </c>
      <c r="H3" s="20">
        <v>13.97</v>
      </c>
      <c r="I3" s="20">
        <v>35.42</v>
      </c>
      <c r="J3" s="20">
        <v>938.32</v>
      </c>
      <c r="K3" s="21">
        <v>906990.8600000001</v>
      </c>
      <c r="L3" s="2"/>
    </row>
    <row r="4" spans="1:12" x14ac:dyDescent="0.25">
      <c r="A4" s="58">
        <v>46023</v>
      </c>
      <c r="B4" s="18">
        <v>8.3333333333333329E-2</v>
      </c>
      <c r="C4" s="19">
        <v>6.28</v>
      </c>
      <c r="D4" s="19">
        <v>71.09</v>
      </c>
      <c r="E4" s="19">
        <v>1.1599999999999999</v>
      </c>
      <c r="F4" s="19">
        <v>2.15</v>
      </c>
      <c r="G4" s="19">
        <v>17.41</v>
      </c>
      <c r="H4" s="20">
        <v>13.95</v>
      </c>
      <c r="I4" s="20">
        <v>35.32</v>
      </c>
      <c r="J4" s="20">
        <v>938.98</v>
      </c>
      <c r="K4" s="21">
        <v>910655.57000000007</v>
      </c>
      <c r="L4" s="2"/>
    </row>
    <row r="5" spans="1:12" x14ac:dyDescent="0.25">
      <c r="A5" s="58">
        <v>46023</v>
      </c>
      <c r="B5" s="18">
        <v>0.125</v>
      </c>
      <c r="C5" s="19">
        <v>6.98</v>
      </c>
      <c r="D5" s="19">
        <v>77.86</v>
      </c>
      <c r="E5" s="19">
        <v>1.17</v>
      </c>
      <c r="F5" s="19">
        <v>1.51</v>
      </c>
      <c r="G5" s="19">
        <v>17.5</v>
      </c>
      <c r="H5" s="20">
        <v>13.91</v>
      </c>
      <c r="I5" s="20">
        <v>34.61</v>
      </c>
      <c r="J5" s="20">
        <v>939.58</v>
      </c>
      <c r="K5" s="21">
        <v>913414.29</v>
      </c>
      <c r="L5" s="2"/>
    </row>
    <row r="6" spans="1:12" x14ac:dyDescent="0.25">
      <c r="A6" s="58">
        <v>46023</v>
      </c>
      <c r="B6" s="18">
        <v>0.16666666666666666</v>
      </c>
      <c r="C6" s="19">
        <v>5.04</v>
      </c>
      <c r="D6" s="19">
        <v>78.36</v>
      </c>
      <c r="E6" s="19">
        <v>1.1200000000000001</v>
      </c>
      <c r="F6" s="19">
        <v>0.79</v>
      </c>
      <c r="G6" s="19">
        <v>17.54</v>
      </c>
      <c r="H6" s="20">
        <v>13.87</v>
      </c>
      <c r="I6" s="20">
        <v>33.75</v>
      </c>
      <c r="J6" s="20">
        <v>939.9</v>
      </c>
      <c r="K6" s="21">
        <v>916713.17999999993</v>
      </c>
      <c r="L6" s="2"/>
    </row>
    <row r="7" spans="1:12" x14ac:dyDescent="0.25">
      <c r="A7" s="58">
        <v>46023</v>
      </c>
      <c r="B7" s="18">
        <v>0.20833333333333334</v>
      </c>
      <c r="C7" s="19">
        <v>5.63</v>
      </c>
      <c r="D7" s="19">
        <v>76.88</v>
      </c>
      <c r="E7" s="19">
        <v>0.95</v>
      </c>
      <c r="F7" s="19">
        <v>0.38</v>
      </c>
      <c r="G7" s="19">
        <v>17.510000000000002</v>
      </c>
      <c r="H7" s="20">
        <v>13.85</v>
      </c>
      <c r="I7" s="20">
        <v>33.56</v>
      </c>
      <c r="J7" s="20">
        <v>940.28</v>
      </c>
      <c r="K7" s="21">
        <v>910587.22</v>
      </c>
      <c r="L7" s="2"/>
    </row>
    <row r="8" spans="1:12" x14ac:dyDescent="0.25">
      <c r="A8" s="58">
        <v>46023</v>
      </c>
      <c r="B8" s="18">
        <v>0.25</v>
      </c>
      <c r="C8" s="19">
        <v>5.97</v>
      </c>
      <c r="D8" s="19">
        <v>74.91</v>
      </c>
      <c r="E8" s="19">
        <v>1.1100000000000001</v>
      </c>
      <c r="F8" s="19">
        <v>0.25</v>
      </c>
      <c r="G8" s="19">
        <v>17.52</v>
      </c>
      <c r="H8" s="20">
        <v>13.83</v>
      </c>
      <c r="I8" s="20">
        <v>33.15</v>
      </c>
      <c r="J8" s="20">
        <v>940.76</v>
      </c>
      <c r="K8" s="21">
        <v>922849.99</v>
      </c>
      <c r="L8" s="2"/>
    </row>
    <row r="9" spans="1:12" x14ac:dyDescent="0.25">
      <c r="A9" s="58">
        <v>46023</v>
      </c>
      <c r="B9" s="18">
        <v>0.29166666666666669</v>
      </c>
      <c r="C9" s="19">
        <v>6.63</v>
      </c>
      <c r="D9" s="19">
        <v>75.349999999999994</v>
      </c>
      <c r="E9" s="19">
        <v>1.05</v>
      </c>
      <c r="F9" s="19">
        <v>0.11</v>
      </c>
      <c r="G9" s="19">
        <v>17.52</v>
      </c>
      <c r="H9" s="20">
        <v>13.81</v>
      </c>
      <c r="I9" s="20">
        <v>32.950000000000003</v>
      </c>
      <c r="J9" s="20">
        <v>941.13</v>
      </c>
      <c r="K9" s="21">
        <v>937491.8899999999</v>
      </c>
      <c r="L9" s="2"/>
    </row>
    <row r="10" spans="1:12" x14ac:dyDescent="0.25">
      <c r="A10" s="58">
        <v>46023</v>
      </c>
      <c r="B10" s="18">
        <v>0.33333333333333331</v>
      </c>
      <c r="C10" s="19">
        <v>7.33</v>
      </c>
      <c r="D10" s="19">
        <v>73.39</v>
      </c>
      <c r="E10" s="19">
        <v>0.79</v>
      </c>
      <c r="F10" s="19">
        <v>0.12</v>
      </c>
      <c r="G10" s="19">
        <v>17.510000000000002</v>
      </c>
      <c r="H10" s="20">
        <v>13.8</v>
      </c>
      <c r="I10" s="20">
        <v>32.869999999999997</v>
      </c>
      <c r="J10" s="20">
        <v>941.41</v>
      </c>
      <c r="K10" s="21">
        <v>928384.6399999999</v>
      </c>
      <c r="L10" s="2"/>
    </row>
    <row r="11" spans="1:12" x14ac:dyDescent="0.25">
      <c r="A11" s="58">
        <v>46023</v>
      </c>
      <c r="B11" s="18">
        <v>0.375</v>
      </c>
      <c r="C11" s="19">
        <v>7.35</v>
      </c>
      <c r="D11" s="19">
        <v>73.680000000000007</v>
      </c>
      <c r="E11" s="19">
        <v>0.86</v>
      </c>
      <c r="F11" s="19">
        <v>0.27</v>
      </c>
      <c r="G11" s="19">
        <v>17.5</v>
      </c>
      <c r="H11" s="20">
        <v>13.83</v>
      </c>
      <c r="I11" s="20">
        <v>33.549999999999997</v>
      </c>
      <c r="J11" s="20">
        <v>941.68</v>
      </c>
      <c r="K11" s="21">
        <v>925101.01</v>
      </c>
      <c r="L11" s="2"/>
    </row>
    <row r="12" spans="1:12" x14ac:dyDescent="0.25">
      <c r="A12" s="58">
        <v>46023</v>
      </c>
      <c r="B12" s="18">
        <v>0.41666666666666669</v>
      </c>
      <c r="C12" s="19">
        <v>7.53</v>
      </c>
      <c r="D12" s="19">
        <v>74.64</v>
      </c>
      <c r="E12" s="19">
        <v>1.35</v>
      </c>
      <c r="F12" s="19">
        <v>0.05</v>
      </c>
      <c r="G12" s="19">
        <v>17.54</v>
      </c>
      <c r="H12" s="20">
        <v>13.85</v>
      </c>
      <c r="I12" s="20">
        <v>34.119999999999997</v>
      </c>
      <c r="J12" s="20">
        <v>942.2</v>
      </c>
      <c r="K12" s="21">
        <v>931726.37000000011</v>
      </c>
      <c r="L12" s="2"/>
    </row>
    <row r="13" spans="1:12" x14ac:dyDescent="0.25">
      <c r="A13" s="58">
        <v>46023</v>
      </c>
      <c r="B13" s="18">
        <v>0.45833333333333331</v>
      </c>
      <c r="C13" s="19">
        <v>6.5</v>
      </c>
      <c r="D13" s="19">
        <v>74.150000000000006</v>
      </c>
      <c r="E13" s="19">
        <v>1.43</v>
      </c>
      <c r="F13" s="19">
        <v>0.08</v>
      </c>
      <c r="G13" s="19">
        <v>17.52</v>
      </c>
      <c r="H13" s="20">
        <v>13.89</v>
      </c>
      <c r="I13" s="20">
        <v>35.06</v>
      </c>
      <c r="J13" s="20">
        <v>942.06</v>
      </c>
      <c r="K13" s="21">
        <v>903533.8899999999</v>
      </c>
      <c r="L13" s="2"/>
    </row>
    <row r="14" spans="1:12" x14ac:dyDescent="0.25">
      <c r="A14" s="58">
        <v>46023</v>
      </c>
      <c r="B14" s="18">
        <v>0.5</v>
      </c>
      <c r="C14" s="19">
        <v>6.74</v>
      </c>
      <c r="D14" s="19">
        <v>72.7</v>
      </c>
      <c r="E14" s="19">
        <v>1.05</v>
      </c>
      <c r="F14" s="19">
        <v>7.0000000000000007E-2</v>
      </c>
      <c r="G14" s="19">
        <v>17.47</v>
      </c>
      <c r="H14" s="20">
        <v>13.96</v>
      </c>
      <c r="I14" s="20">
        <v>36.520000000000003</v>
      </c>
      <c r="J14" s="20">
        <v>941.72</v>
      </c>
      <c r="K14" s="21">
        <v>889089.24</v>
      </c>
      <c r="L14" s="2"/>
    </row>
    <row r="15" spans="1:12" x14ac:dyDescent="0.25">
      <c r="A15" s="58">
        <v>46023</v>
      </c>
      <c r="B15" s="18">
        <v>0.54166666666666663</v>
      </c>
      <c r="C15" s="19">
        <v>6.61</v>
      </c>
      <c r="D15" s="19">
        <v>70.790000000000006</v>
      </c>
      <c r="E15" s="19">
        <v>1.07</v>
      </c>
      <c r="F15" s="19">
        <v>0.19</v>
      </c>
      <c r="G15" s="19">
        <v>17.45</v>
      </c>
      <c r="H15" s="20">
        <v>14</v>
      </c>
      <c r="I15" s="20">
        <v>37.200000000000003</v>
      </c>
      <c r="J15" s="20">
        <v>941.58</v>
      </c>
      <c r="K15" s="21">
        <v>882061.79</v>
      </c>
      <c r="L15" s="2"/>
    </row>
    <row r="16" spans="1:12" x14ac:dyDescent="0.25">
      <c r="A16" s="58">
        <v>46023</v>
      </c>
      <c r="B16" s="18">
        <v>0.58333333333333337</v>
      </c>
      <c r="C16" s="19">
        <v>6.13</v>
      </c>
      <c r="D16" s="19">
        <v>70.75</v>
      </c>
      <c r="E16" s="19">
        <v>0.98</v>
      </c>
      <c r="F16" s="19">
        <v>0.26</v>
      </c>
      <c r="G16" s="19">
        <v>17.440000000000001</v>
      </c>
      <c r="H16" s="20">
        <v>14.02</v>
      </c>
      <c r="I16" s="20">
        <v>37.67</v>
      </c>
      <c r="J16" s="20">
        <v>941.42</v>
      </c>
      <c r="K16" s="21">
        <v>880831.16999999993</v>
      </c>
      <c r="L16" s="2"/>
    </row>
    <row r="17" spans="1:12" x14ac:dyDescent="0.25">
      <c r="A17" s="58">
        <v>46023</v>
      </c>
      <c r="B17" s="18">
        <v>0.625</v>
      </c>
      <c r="C17" s="19">
        <v>6.64</v>
      </c>
      <c r="D17" s="19">
        <v>70.14</v>
      </c>
      <c r="E17" s="19">
        <v>1</v>
      </c>
      <c r="F17" s="19">
        <v>0.32</v>
      </c>
      <c r="G17" s="19">
        <v>17.43</v>
      </c>
      <c r="H17" s="20">
        <v>14.03</v>
      </c>
      <c r="I17" s="20">
        <v>37.92</v>
      </c>
      <c r="J17" s="20">
        <v>941.39</v>
      </c>
      <c r="K17" s="21">
        <v>878905.04</v>
      </c>
      <c r="L17" s="2"/>
    </row>
    <row r="18" spans="1:12" x14ac:dyDescent="0.25">
      <c r="A18" s="58">
        <v>46023</v>
      </c>
      <c r="B18" s="18">
        <v>0.66666666666666663</v>
      </c>
      <c r="C18" s="19">
        <v>6.1</v>
      </c>
      <c r="D18" s="19">
        <v>70.09</v>
      </c>
      <c r="E18" s="19">
        <v>0.88</v>
      </c>
      <c r="F18" s="19">
        <v>0.34</v>
      </c>
      <c r="G18" s="19">
        <v>17.440000000000001</v>
      </c>
      <c r="H18" s="20">
        <v>14.03</v>
      </c>
      <c r="I18" s="20">
        <v>37.86</v>
      </c>
      <c r="J18" s="20">
        <v>941.54</v>
      </c>
      <c r="K18" s="21">
        <v>880332.87000000011</v>
      </c>
      <c r="L18" s="2"/>
    </row>
    <row r="19" spans="1:12" x14ac:dyDescent="0.25">
      <c r="A19" s="58">
        <v>46023</v>
      </c>
      <c r="B19" s="18">
        <v>0.70833333333333337</v>
      </c>
      <c r="C19" s="19">
        <v>6.82</v>
      </c>
      <c r="D19" s="19">
        <v>71.89</v>
      </c>
      <c r="E19" s="19">
        <v>0.83</v>
      </c>
      <c r="F19" s="19">
        <v>0.21</v>
      </c>
      <c r="G19" s="19">
        <v>17.47</v>
      </c>
      <c r="H19" s="20">
        <v>14</v>
      </c>
      <c r="I19" s="20">
        <v>37.299999999999997</v>
      </c>
      <c r="J19" s="20">
        <v>941.65</v>
      </c>
      <c r="K19" s="21">
        <v>882362.32000000007</v>
      </c>
      <c r="L19" s="2"/>
    </row>
    <row r="20" spans="1:12" x14ac:dyDescent="0.25">
      <c r="A20" s="58">
        <v>46023</v>
      </c>
      <c r="B20" s="18">
        <v>0.75</v>
      </c>
      <c r="C20" s="19">
        <v>5.6</v>
      </c>
      <c r="D20" s="19">
        <v>72.23</v>
      </c>
      <c r="E20" s="19">
        <v>1.07</v>
      </c>
      <c r="F20" s="19">
        <v>0.23</v>
      </c>
      <c r="G20" s="19">
        <v>17.47</v>
      </c>
      <c r="H20" s="20">
        <v>13.98</v>
      </c>
      <c r="I20" s="20">
        <v>36.799999999999997</v>
      </c>
      <c r="J20" s="20">
        <v>941.92</v>
      </c>
      <c r="K20" s="21">
        <v>884678.33000000007</v>
      </c>
      <c r="L20" s="2"/>
    </row>
    <row r="21" spans="1:12" x14ac:dyDescent="0.25">
      <c r="A21" s="58">
        <v>46023</v>
      </c>
      <c r="B21" s="18">
        <v>0.79166666666666663</v>
      </c>
      <c r="C21" s="19">
        <v>6</v>
      </c>
      <c r="D21" s="19">
        <v>72.92</v>
      </c>
      <c r="E21" s="19">
        <v>0.93</v>
      </c>
      <c r="F21" s="19">
        <v>0.23</v>
      </c>
      <c r="G21" s="19">
        <v>17.47</v>
      </c>
      <c r="H21" s="20">
        <v>13.96</v>
      </c>
      <c r="I21" s="20">
        <v>36.5</v>
      </c>
      <c r="J21" s="20">
        <v>941.86</v>
      </c>
      <c r="K21" s="21">
        <v>883539.64999999991</v>
      </c>
      <c r="L21" s="2"/>
    </row>
    <row r="22" spans="1:12" x14ac:dyDescent="0.25">
      <c r="A22" s="58">
        <v>46023</v>
      </c>
      <c r="B22" s="18">
        <v>0.83333333333333337</v>
      </c>
      <c r="C22" s="19">
        <v>6.33</v>
      </c>
      <c r="D22" s="19">
        <v>77.37</v>
      </c>
      <c r="E22" s="19">
        <v>0.89</v>
      </c>
      <c r="F22" s="19">
        <v>0.28000000000000003</v>
      </c>
      <c r="G22" s="19">
        <v>17.53</v>
      </c>
      <c r="H22" s="20">
        <v>13.95</v>
      </c>
      <c r="I22" s="20">
        <v>36.24</v>
      </c>
      <c r="J22" s="20">
        <v>941.82</v>
      </c>
      <c r="K22" s="21">
        <v>878467.46</v>
      </c>
      <c r="L22" s="2"/>
    </row>
    <row r="23" spans="1:12" x14ac:dyDescent="0.25">
      <c r="A23" s="58">
        <v>46023</v>
      </c>
      <c r="B23" s="18">
        <v>0.875</v>
      </c>
      <c r="C23" s="19">
        <v>3.83</v>
      </c>
      <c r="D23" s="19">
        <v>78.47</v>
      </c>
      <c r="E23" s="19">
        <v>0.83</v>
      </c>
      <c r="F23" s="19">
        <v>0.18</v>
      </c>
      <c r="G23" s="19">
        <v>17.510000000000002</v>
      </c>
      <c r="H23" s="20">
        <v>13.95</v>
      </c>
      <c r="I23" s="20">
        <v>36.03</v>
      </c>
      <c r="J23" s="20">
        <v>941.44</v>
      </c>
      <c r="K23" s="21">
        <v>880423.79</v>
      </c>
      <c r="L23" s="2"/>
    </row>
    <row r="24" spans="1:12" x14ac:dyDescent="0.25">
      <c r="A24" s="58">
        <v>46023</v>
      </c>
      <c r="B24" s="18">
        <v>0.91666666666666663</v>
      </c>
      <c r="C24" s="19">
        <v>5.74</v>
      </c>
      <c r="D24" s="19">
        <v>78.28</v>
      </c>
      <c r="E24" s="19">
        <v>0.65</v>
      </c>
      <c r="F24" s="19">
        <v>0.08</v>
      </c>
      <c r="G24" s="19">
        <v>17.510000000000002</v>
      </c>
      <c r="H24" s="20">
        <v>13.96</v>
      </c>
      <c r="I24" s="20">
        <v>36.340000000000003</v>
      </c>
      <c r="J24" s="20">
        <v>941.34</v>
      </c>
      <c r="K24" s="21">
        <v>880772.04</v>
      </c>
      <c r="L24" s="2"/>
    </row>
    <row r="25" spans="1:12" ht="15.75" thickBot="1" x14ac:dyDescent="0.3">
      <c r="A25" s="59">
        <v>46023</v>
      </c>
      <c r="B25" s="22">
        <v>0.95833333333333337</v>
      </c>
      <c r="C25" s="23">
        <v>4.88</v>
      </c>
      <c r="D25" s="23">
        <v>78.28</v>
      </c>
      <c r="E25" s="23">
        <v>0.67</v>
      </c>
      <c r="F25" s="23">
        <v>0.15</v>
      </c>
      <c r="G25" s="23">
        <v>17.510000000000002</v>
      </c>
      <c r="H25" s="24">
        <v>13.96</v>
      </c>
      <c r="I25" s="24">
        <v>36.1</v>
      </c>
      <c r="J25" s="24">
        <v>940.97</v>
      </c>
      <c r="K25" s="25">
        <v>882764.46</v>
      </c>
      <c r="L25" s="2"/>
    </row>
    <row r="26" spans="1:12" ht="15.75" thickBot="1" x14ac:dyDescent="0.3">
      <c r="A26" s="26" t="s">
        <v>12</v>
      </c>
      <c r="B26" s="43"/>
      <c r="C26" s="27">
        <f t="shared" ref="C26:K26" si="0">IFERROR(ROUND(AVERAGE(C2:C25), 2), "")</f>
        <v>6.23</v>
      </c>
      <c r="D26" s="27">
        <f t="shared" si="0"/>
        <v>73.91</v>
      </c>
      <c r="E26" s="27">
        <f t="shared" si="0"/>
        <v>1.1399999999999999</v>
      </c>
      <c r="F26" s="27">
        <f t="shared" si="0"/>
        <v>0.74</v>
      </c>
      <c r="G26" s="27">
        <f t="shared" si="0"/>
        <v>17.48</v>
      </c>
      <c r="H26" s="27">
        <f t="shared" si="0"/>
        <v>13.93</v>
      </c>
      <c r="I26" s="27">
        <f t="shared" si="0"/>
        <v>35.520000000000003</v>
      </c>
      <c r="J26" s="27">
        <f t="shared" si="0"/>
        <v>940.95</v>
      </c>
      <c r="K26" s="28">
        <f t="shared" si="0"/>
        <v>900425.66</v>
      </c>
      <c r="L26" s="7"/>
    </row>
    <row r="27" spans="1:12" x14ac:dyDescent="0.25">
      <c r="A27" s="57">
        <v>46024</v>
      </c>
      <c r="B27" s="14">
        <v>0</v>
      </c>
      <c r="C27" s="16">
        <v>5.0599999999999996</v>
      </c>
      <c r="D27" s="16">
        <v>78.55</v>
      </c>
      <c r="E27" s="16">
        <v>0.66</v>
      </c>
      <c r="F27" s="16">
        <v>0.05</v>
      </c>
      <c r="G27" s="16">
        <v>17.52</v>
      </c>
      <c r="H27" s="16">
        <v>13.96</v>
      </c>
      <c r="I27" s="16">
        <v>35.950000000000003</v>
      </c>
      <c r="J27" s="16">
        <v>940.42</v>
      </c>
      <c r="K27" s="31">
        <v>887977.53</v>
      </c>
      <c r="L27" s="1"/>
    </row>
    <row r="28" spans="1:12" x14ac:dyDescent="0.25">
      <c r="A28" s="58">
        <v>46024</v>
      </c>
      <c r="B28" s="18">
        <v>4.1666666666666664E-2</v>
      </c>
      <c r="C28" s="20">
        <v>5.59</v>
      </c>
      <c r="D28" s="20">
        <v>77.98</v>
      </c>
      <c r="E28" s="20">
        <v>0.68</v>
      </c>
      <c r="F28" s="20">
        <v>0.04</v>
      </c>
      <c r="G28" s="20">
        <v>17.48</v>
      </c>
      <c r="H28" s="20">
        <v>13.97</v>
      </c>
      <c r="I28" s="20">
        <v>35.97</v>
      </c>
      <c r="J28" s="20">
        <v>939.9</v>
      </c>
      <c r="K28" s="32">
        <v>873381.71</v>
      </c>
      <c r="L28" s="1"/>
    </row>
    <row r="29" spans="1:12" x14ac:dyDescent="0.25">
      <c r="A29" s="58">
        <v>46024</v>
      </c>
      <c r="B29" s="18">
        <v>8.3333333333333329E-2</v>
      </c>
      <c r="C29" s="20">
        <v>5.09</v>
      </c>
      <c r="D29" s="20">
        <v>79</v>
      </c>
      <c r="E29" s="20">
        <v>0.75</v>
      </c>
      <c r="F29" s="20">
        <v>0.2</v>
      </c>
      <c r="G29" s="20">
        <v>17.489999999999998</v>
      </c>
      <c r="H29" s="20">
        <v>13.96</v>
      </c>
      <c r="I29" s="20">
        <v>35.71</v>
      </c>
      <c r="J29" s="20">
        <v>939.72</v>
      </c>
      <c r="K29" s="32">
        <v>873832.29</v>
      </c>
      <c r="L29" s="1"/>
    </row>
    <row r="30" spans="1:12" x14ac:dyDescent="0.25">
      <c r="A30" s="58">
        <v>46024</v>
      </c>
      <c r="B30" s="18">
        <v>0.125</v>
      </c>
      <c r="C30" s="20">
        <v>6.63</v>
      </c>
      <c r="D30" s="20">
        <v>79.06</v>
      </c>
      <c r="E30" s="20">
        <v>0.74</v>
      </c>
      <c r="F30" s="20">
        <v>0.14000000000000001</v>
      </c>
      <c r="G30" s="20">
        <v>17.489999999999998</v>
      </c>
      <c r="H30" s="20">
        <v>13.97</v>
      </c>
      <c r="I30" s="20">
        <v>35.72</v>
      </c>
      <c r="J30" s="20">
        <v>939.21</v>
      </c>
      <c r="K30" s="32">
        <v>867195.89999999991</v>
      </c>
      <c r="L30" s="1"/>
    </row>
    <row r="31" spans="1:12" x14ac:dyDescent="0.25">
      <c r="A31" s="58">
        <v>46024</v>
      </c>
      <c r="B31" s="18">
        <v>0.16666666666666666</v>
      </c>
      <c r="C31" s="20">
        <v>6.19</v>
      </c>
      <c r="D31" s="20">
        <v>78.900000000000006</v>
      </c>
      <c r="E31" s="20">
        <v>0.84</v>
      </c>
      <c r="F31" s="20">
        <v>0.15</v>
      </c>
      <c r="G31" s="20">
        <v>17.52</v>
      </c>
      <c r="H31" s="20">
        <v>13.96</v>
      </c>
      <c r="I31" s="20">
        <v>35.39</v>
      </c>
      <c r="J31" s="20">
        <v>938.57</v>
      </c>
      <c r="K31" s="32">
        <v>877616.29</v>
      </c>
      <c r="L31" s="1"/>
    </row>
    <row r="32" spans="1:12" x14ac:dyDescent="0.25">
      <c r="A32" s="58">
        <v>46024</v>
      </c>
      <c r="B32" s="18">
        <v>0.20833333333333334</v>
      </c>
      <c r="C32" s="20">
        <v>7.24</v>
      </c>
      <c r="D32" s="20">
        <v>78.62</v>
      </c>
      <c r="E32" s="20">
        <v>0.83</v>
      </c>
      <c r="F32" s="20">
        <v>0.15</v>
      </c>
      <c r="G32" s="20">
        <v>17.510000000000002</v>
      </c>
      <c r="H32" s="20">
        <v>13.97</v>
      </c>
      <c r="I32" s="20">
        <v>35.32</v>
      </c>
      <c r="J32" s="20">
        <v>937.56</v>
      </c>
      <c r="K32" s="32">
        <v>878246.52</v>
      </c>
      <c r="L32" s="1"/>
    </row>
    <row r="33" spans="1:12" x14ac:dyDescent="0.25">
      <c r="A33" s="58">
        <v>46024</v>
      </c>
      <c r="B33" s="18">
        <v>0.25</v>
      </c>
      <c r="C33" s="20">
        <v>6.76</v>
      </c>
      <c r="D33" s="20">
        <v>78.67</v>
      </c>
      <c r="E33" s="20">
        <v>0.78</v>
      </c>
      <c r="F33" s="20">
        <v>0.03</v>
      </c>
      <c r="G33" s="20">
        <v>17.52</v>
      </c>
      <c r="H33" s="20">
        <v>13.98</v>
      </c>
      <c r="I33" s="20">
        <v>35.33</v>
      </c>
      <c r="J33" s="20">
        <v>937.25</v>
      </c>
      <c r="K33" s="32">
        <v>874575.45</v>
      </c>
      <c r="L33" s="1"/>
    </row>
    <row r="34" spans="1:12" x14ac:dyDescent="0.25">
      <c r="A34" s="58">
        <v>46024</v>
      </c>
      <c r="B34" s="18">
        <v>0.29166666666666669</v>
      </c>
      <c r="C34" s="20">
        <v>7.43</v>
      </c>
      <c r="D34" s="20">
        <v>79.209999999999994</v>
      </c>
      <c r="E34" s="20">
        <v>0.76</v>
      </c>
      <c r="F34" s="20">
        <v>0.09</v>
      </c>
      <c r="G34" s="20">
        <v>17.510000000000002</v>
      </c>
      <c r="H34" s="20">
        <v>14</v>
      </c>
      <c r="I34" s="20">
        <v>35.76</v>
      </c>
      <c r="J34" s="20">
        <v>937.32</v>
      </c>
      <c r="K34" s="32">
        <v>875199</v>
      </c>
      <c r="L34" s="1"/>
    </row>
    <row r="35" spans="1:12" x14ac:dyDescent="0.25">
      <c r="A35" s="58">
        <v>46024</v>
      </c>
      <c r="B35" s="18">
        <v>0.33333333333333331</v>
      </c>
      <c r="C35" s="20">
        <v>6.65</v>
      </c>
      <c r="D35" s="20">
        <v>78.760000000000005</v>
      </c>
      <c r="E35" s="20">
        <v>0.65</v>
      </c>
      <c r="F35" s="20">
        <v>0.13</v>
      </c>
      <c r="G35" s="20">
        <v>17.489999999999998</v>
      </c>
      <c r="H35" s="20">
        <v>13.98</v>
      </c>
      <c r="I35" s="20">
        <v>35.520000000000003</v>
      </c>
      <c r="J35" s="20">
        <v>937.4</v>
      </c>
      <c r="K35" s="32">
        <v>871215.28</v>
      </c>
      <c r="L35" s="1"/>
    </row>
    <row r="36" spans="1:12" x14ac:dyDescent="0.25">
      <c r="A36" s="58">
        <v>46024</v>
      </c>
      <c r="B36" s="18">
        <v>0.375</v>
      </c>
      <c r="C36" s="20">
        <v>5.34</v>
      </c>
      <c r="D36" s="20">
        <v>78.209999999999994</v>
      </c>
      <c r="E36" s="20">
        <v>0.55000000000000004</v>
      </c>
      <c r="F36" s="20">
        <v>0.06</v>
      </c>
      <c r="G36" s="20">
        <v>17.47</v>
      </c>
      <c r="H36" s="20">
        <v>13.99</v>
      </c>
      <c r="I36" s="20">
        <v>35.71</v>
      </c>
      <c r="J36" s="20">
        <v>937.37</v>
      </c>
      <c r="K36" s="32">
        <v>864604.10000000009</v>
      </c>
      <c r="L36" s="1"/>
    </row>
    <row r="37" spans="1:12" x14ac:dyDescent="0.25">
      <c r="A37" s="58">
        <v>46024</v>
      </c>
      <c r="B37" s="18">
        <v>0.41666666666666669</v>
      </c>
      <c r="C37" s="20">
        <v>6.94</v>
      </c>
      <c r="D37" s="20">
        <v>79.19</v>
      </c>
      <c r="E37" s="20">
        <v>0.99</v>
      </c>
      <c r="F37" s="20">
        <v>0.05</v>
      </c>
      <c r="G37" s="20">
        <v>17.489999999999998</v>
      </c>
      <c r="H37" s="20">
        <v>14.04</v>
      </c>
      <c r="I37" s="20">
        <v>36.76</v>
      </c>
      <c r="J37" s="20">
        <v>937.22</v>
      </c>
      <c r="K37" s="32">
        <v>864340.3</v>
      </c>
      <c r="L37" s="1"/>
    </row>
    <row r="38" spans="1:12" x14ac:dyDescent="0.25">
      <c r="A38" s="58">
        <v>46024</v>
      </c>
      <c r="B38" s="18">
        <v>0.45833333333333331</v>
      </c>
      <c r="C38" s="20">
        <v>6.79</v>
      </c>
      <c r="D38" s="20">
        <v>78.83</v>
      </c>
      <c r="E38" s="20">
        <v>1.01</v>
      </c>
      <c r="F38" s="20">
        <v>0.05</v>
      </c>
      <c r="G38" s="20">
        <v>17.5</v>
      </c>
      <c r="H38" s="20">
        <v>14.12</v>
      </c>
      <c r="I38" s="20">
        <v>38.19</v>
      </c>
      <c r="J38" s="20">
        <v>936.47</v>
      </c>
      <c r="K38" s="32">
        <v>855590.05</v>
      </c>
      <c r="L38" s="1"/>
    </row>
    <row r="39" spans="1:12" x14ac:dyDescent="0.25">
      <c r="A39" s="58">
        <v>46024</v>
      </c>
      <c r="B39" s="18">
        <v>0.5</v>
      </c>
      <c r="C39" s="20">
        <v>7.31</v>
      </c>
      <c r="D39" s="20">
        <v>76.239999999999995</v>
      </c>
      <c r="E39" s="20">
        <v>0.87</v>
      </c>
      <c r="F39" s="20">
        <v>0.12</v>
      </c>
      <c r="G39" s="20">
        <v>17.47</v>
      </c>
      <c r="H39" s="20">
        <v>14.2</v>
      </c>
      <c r="I39" s="20">
        <v>39.61</v>
      </c>
      <c r="J39" s="20">
        <v>935.66</v>
      </c>
      <c r="K39" s="32">
        <v>825461.42999999993</v>
      </c>
      <c r="L39" s="1"/>
    </row>
    <row r="40" spans="1:12" x14ac:dyDescent="0.25">
      <c r="A40" s="58">
        <v>46024</v>
      </c>
      <c r="B40" s="18">
        <v>0.54166666666666663</v>
      </c>
      <c r="C40" s="20">
        <v>7.05</v>
      </c>
      <c r="D40" s="20">
        <v>73.459999999999994</v>
      </c>
      <c r="E40" s="20">
        <v>0.68</v>
      </c>
      <c r="F40" s="20">
        <v>0.1</v>
      </c>
      <c r="G40" s="20">
        <v>17.45</v>
      </c>
      <c r="H40" s="20">
        <v>14.26</v>
      </c>
      <c r="I40" s="20">
        <v>40.82</v>
      </c>
      <c r="J40" s="20">
        <v>935</v>
      </c>
      <c r="K40" s="32">
        <v>833201.40999999992</v>
      </c>
      <c r="L40" s="1"/>
    </row>
    <row r="41" spans="1:12" x14ac:dyDescent="0.25">
      <c r="A41" s="58">
        <v>46024</v>
      </c>
      <c r="B41" s="18">
        <v>0.58333333333333337</v>
      </c>
      <c r="C41" s="20">
        <v>8.18</v>
      </c>
      <c r="D41" s="20">
        <v>73.89</v>
      </c>
      <c r="E41" s="20">
        <v>0.66</v>
      </c>
      <c r="F41" s="20">
        <v>0.15</v>
      </c>
      <c r="G41" s="20">
        <v>17.510000000000002</v>
      </c>
      <c r="H41" s="20">
        <v>14.29</v>
      </c>
      <c r="I41" s="20">
        <v>41.34</v>
      </c>
      <c r="J41" s="20">
        <v>934.44</v>
      </c>
      <c r="K41" s="32">
        <v>842886.01</v>
      </c>
      <c r="L41" s="1"/>
    </row>
    <row r="42" spans="1:12" x14ac:dyDescent="0.25">
      <c r="A42" s="58">
        <v>46024</v>
      </c>
      <c r="B42" s="18">
        <v>0.625</v>
      </c>
      <c r="C42" s="20">
        <v>5.18</v>
      </c>
      <c r="D42" s="20">
        <v>73.62</v>
      </c>
      <c r="E42" s="20">
        <v>0.75</v>
      </c>
      <c r="F42" s="20">
        <v>0.09</v>
      </c>
      <c r="G42" s="20">
        <v>17.489999999999998</v>
      </c>
      <c r="H42" s="20">
        <v>14.3</v>
      </c>
      <c r="I42" s="20">
        <v>41.43</v>
      </c>
      <c r="J42" s="20">
        <v>934.19</v>
      </c>
      <c r="K42" s="32">
        <v>844981.8899999999</v>
      </c>
      <c r="L42" s="1"/>
    </row>
    <row r="43" spans="1:12" x14ac:dyDescent="0.25">
      <c r="A43" s="58">
        <v>46024</v>
      </c>
      <c r="B43" s="18">
        <v>0.66666666666666663</v>
      </c>
      <c r="C43" s="20">
        <v>6.04</v>
      </c>
      <c r="D43" s="20">
        <v>74.34</v>
      </c>
      <c r="E43" s="20">
        <v>0.93</v>
      </c>
      <c r="F43" s="20">
        <v>0.41</v>
      </c>
      <c r="G43" s="20">
        <v>17.48</v>
      </c>
      <c r="H43" s="20">
        <v>14.3</v>
      </c>
      <c r="I43" s="20">
        <v>41.36</v>
      </c>
      <c r="J43" s="20">
        <v>934.08</v>
      </c>
      <c r="K43" s="32">
        <v>846946.8899999999</v>
      </c>
      <c r="L43" s="1"/>
    </row>
    <row r="44" spans="1:12" x14ac:dyDescent="0.25">
      <c r="A44" s="58">
        <v>46024</v>
      </c>
      <c r="B44" s="18">
        <v>0.70833333333333337</v>
      </c>
      <c r="C44" s="20">
        <v>7.3</v>
      </c>
      <c r="D44" s="20">
        <v>73.56</v>
      </c>
      <c r="E44" s="20">
        <v>0.84</v>
      </c>
      <c r="F44" s="20">
        <v>1.29</v>
      </c>
      <c r="G44" s="20">
        <v>17.45</v>
      </c>
      <c r="H44" s="20">
        <v>14.31</v>
      </c>
      <c r="I44" s="20">
        <v>41.27</v>
      </c>
      <c r="J44" s="20">
        <v>933.03</v>
      </c>
      <c r="K44" s="32">
        <v>832177.46</v>
      </c>
      <c r="L44" s="1"/>
    </row>
    <row r="45" spans="1:12" x14ac:dyDescent="0.25">
      <c r="A45" s="58">
        <v>46024</v>
      </c>
      <c r="B45" s="18">
        <v>0.75</v>
      </c>
      <c r="C45" s="20">
        <v>6.52</v>
      </c>
      <c r="D45" s="20">
        <v>73.58</v>
      </c>
      <c r="E45" s="20">
        <v>0.87</v>
      </c>
      <c r="F45" s="20">
        <v>1.57</v>
      </c>
      <c r="G45" s="20">
        <v>17.47</v>
      </c>
      <c r="H45" s="20">
        <v>14.3</v>
      </c>
      <c r="I45" s="20">
        <v>40.92</v>
      </c>
      <c r="J45" s="20">
        <v>932.76</v>
      </c>
      <c r="K45" s="32">
        <v>835069.67999999993</v>
      </c>
      <c r="L45" s="1"/>
    </row>
    <row r="46" spans="1:12" x14ac:dyDescent="0.25">
      <c r="A46" s="58">
        <v>46024</v>
      </c>
      <c r="B46" s="18">
        <v>0.79166666666666663</v>
      </c>
      <c r="C46" s="20">
        <v>5.77</v>
      </c>
      <c r="D46" s="20">
        <v>73.260000000000005</v>
      </c>
      <c r="E46" s="20">
        <v>0.84</v>
      </c>
      <c r="F46" s="20">
        <v>0.69</v>
      </c>
      <c r="G46" s="20">
        <v>17.47</v>
      </c>
      <c r="H46" s="20">
        <v>14.3</v>
      </c>
      <c r="I46" s="20">
        <v>40.75</v>
      </c>
      <c r="J46" s="20">
        <v>932.3</v>
      </c>
      <c r="K46" s="32">
        <v>826895.62000000011</v>
      </c>
      <c r="L46" s="1"/>
    </row>
    <row r="47" spans="1:12" x14ac:dyDescent="0.25">
      <c r="A47" s="58">
        <v>46024</v>
      </c>
      <c r="B47" s="18">
        <v>0.83333333333333337</v>
      </c>
      <c r="C47" s="20">
        <v>5.15</v>
      </c>
      <c r="D47" s="20">
        <v>72.7</v>
      </c>
      <c r="E47" s="20">
        <v>0.98</v>
      </c>
      <c r="F47" s="20">
        <v>0.83</v>
      </c>
      <c r="G47" s="20">
        <v>17.47</v>
      </c>
      <c r="H47" s="20">
        <v>14.31</v>
      </c>
      <c r="I47" s="20">
        <v>40.81</v>
      </c>
      <c r="J47" s="20">
        <v>931.78</v>
      </c>
      <c r="K47" s="32">
        <v>836885.66999999993</v>
      </c>
      <c r="L47" s="1"/>
    </row>
    <row r="48" spans="1:12" x14ac:dyDescent="0.25">
      <c r="A48" s="58">
        <v>46024</v>
      </c>
      <c r="B48" s="18">
        <v>0.875</v>
      </c>
      <c r="C48" s="20">
        <v>5.43</v>
      </c>
      <c r="D48" s="20">
        <v>73.28</v>
      </c>
      <c r="E48" s="20">
        <v>1.17</v>
      </c>
      <c r="F48" s="20">
        <v>0.89</v>
      </c>
      <c r="G48" s="20">
        <v>17.47</v>
      </c>
      <c r="H48" s="20">
        <v>14.32</v>
      </c>
      <c r="I48" s="20">
        <v>40.770000000000003</v>
      </c>
      <c r="J48" s="20">
        <v>931.58</v>
      </c>
      <c r="K48" s="32">
        <v>839138.92999999993</v>
      </c>
      <c r="L48" s="1"/>
    </row>
    <row r="49" spans="1:12" x14ac:dyDescent="0.25">
      <c r="A49" s="58">
        <v>46024</v>
      </c>
      <c r="B49" s="18">
        <v>0.91666666666666663</v>
      </c>
      <c r="C49" s="20">
        <v>4.6100000000000003</v>
      </c>
      <c r="D49" s="20">
        <v>73.099999999999994</v>
      </c>
      <c r="E49" s="20">
        <v>0.97</v>
      </c>
      <c r="F49" s="20">
        <v>3.11</v>
      </c>
      <c r="G49" s="20">
        <v>17.48</v>
      </c>
      <c r="H49" s="20">
        <v>14.3</v>
      </c>
      <c r="I49" s="20">
        <v>40.340000000000003</v>
      </c>
      <c r="J49" s="20">
        <v>931.21</v>
      </c>
      <c r="K49" s="32">
        <v>852773.25</v>
      </c>
      <c r="L49" s="1"/>
    </row>
    <row r="50" spans="1:12" ht="15.75" thickBot="1" x14ac:dyDescent="0.3">
      <c r="A50" s="59">
        <v>46024</v>
      </c>
      <c r="B50" s="22">
        <v>0.95833333333333337</v>
      </c>
      <c r="C50" s="33">
        <v>4.6500000000000004</v>
      </c>
      <c r="D50" s="33">
        <v>72.38</v>
      </c>
      <c r="E50" s="33">
        <v>1</v>
      </c>
      <c r="F50" s="33">
        <v>2.0499999999999998</v>
      </c>
      <c r="G50" s="33">
        <v>17.45</v>
      </c>
      <c r="H50" s="33">
        <v>14.29</v>
      </c>
      <c r="I50" s="33">
        <v>39.93</v>
      </c>
      <c r="J50" s="33">
        <v>930.93</v>
      </c>
      <c r="K50" s="34">
        <v>844442.37999999989</v>
      </c>
      <c r="L50" s="1"/>
    </row>
    <row r="51" spans="1:12" ht="15.75" thickBot="1" x14ac:dyDescent="0.3">
      <c r="A51" s="26" t="s">
        <v>13</v>
      </c>
      <c r="B51" s="44"/>
      <c r="C51" s="45">
        <f t="shared" ref="C51:K51" si="1">IFERROR(ROUND(AVERAGE(C27:C50), 2), "")</f>
        <v>6.2</v>
      </c>
      <c r="D51" s="45">
        <f t="shared" si="1"/>
        <v>76.180000000000007</v>
      </c>
      <c r="E51" s="45">
        <f t="shared" si="1"/>
        <v>0.83</v>
      </c>
      <c r="F51" s="45">
        <f t="shared" si="1"/>
        <v>0.52</v>
      </c>
      <c r="G51" s="45">
        <f t="shared" si="1"/>
        <v>17.489999999999998</v>
      </c>
      <c r="H51" s="45">
        <f t="shared" si="1"/>
        <v>14.14</v>
      </c>
      <c r="I51" s="45">
        <f t="shared" si="1"/>
        <v>38.36</v>
      </c>
      <c r="J51" s="45">
        <f t="shared" si="1"/>
        <v>935.64</v>
      </c>
      <c r="K51" s="46">
        <f t="shared" si="1"/>
        <v>855193.13</v>
      </c>
      <c r="L51" s="7"/>
    </row>
    <row r="52" spans="1:12" x14ac:dyDescent="0.25">
      <c r="A52" s="57">
        <v>46025</v>
      </c>
      <c r="B52" s="14">
        <v>0</v>
      </c>
      <c r="C52" s="16">
        <v>5.83</v>
      </c>
      <c r="D52" s="16">
        <v>72.55</v>
      </c>
      <c r="E52" s="16">
        <v>1.03</v>
      </c>
      <c r="F52" s="16">
        <v>1.7</v>
      </c>
      <c r="G52" s="16">
        <v>17.41</v>
      </c>
      <c r="H52" s="16">
        <v>14.31</v>
      </c>
      <c r="I52" s="16">
        <v>40.119999999999997</v>
      </c>
      <c r="J52" s="16">
        <v>930.13</v>
      </c>
      <c r="K52" s="31">
        <v>835294.90999999992</v>
      </c>
      <c r="L52" s="2"/>
    </row>
    <row r="53" spans="1:12" x14ac:dyDescent="0.25">
      <c r="A53" s="58">
        <v>46025</v>
      </c>
      <c r="B53" s="18">
        <v>4.1666666666666664E-2</v>
      </c>
      <c r="C53" s="20">
        <v>5.96</v>
      </c>
      <c r="D53" s="20">
        <v>71.92</v>
      </c>
      <c r="E53" s="20">
        <v>1.05</v>
      </c>
      <c r="F53" s="20">
        <v>1.56</v>
      </c>
      <c r="G53" s="20">
        <v>17.399999999999999</v>
      </c>
      <c r="H53" s="20">
        <v>14.33</v>
      </c>
      <c r="I53" s="20">
        <v>40.340000000000003</v>
      </c>
      <c r="J53" s="20">
        <v>929.59</v>
      </c>
      <c r="K53" s="32">
        <v>840115.49</v>
      </c>
      <c r="L53" s="2"/>
    </row>
    <row r="54" spans="1:12" x14ac:dyDescent="0.25">
      <c r="A54" s="58">
        <v>46025</v>
      </c>
      <c r="B54" s="18">
        <v>8.3333333333333329E-2</v>
      </c>
      <c r="C54" s="20">
        <v>6.27</v>
      </c>
      <c r="D54" s="20">
        <v>72.2</v>
      </c>
      <c r="E54" s="20">
        <v>0.8</v>
      </c>
      <c r="F54" s="20">
        <v>0.83</v>
      </c>
      <c r="G54" s="20">
        <v>17.43</v>
      </c>
      <c r="H54" s="20">
        <v>14.35</v>
      </c>
      <c r="I54" s="20">
        <v>40.700000000000003</v>
      </c>
      <c r="J54" s="20">
        <v>929.14</v>
      </c>
      <c r="K54" s="32">
        <v>863205.25</v>
      </c>
      <c r="L54" s="2"/>
    </row>
    <row r="55" spans="1:12" x14ac:dyDescent="0.25">
      <c r="A55" s="58">
        <v>46025</v>
      </c>
      <c r="B55" s="18">
        <v>0.125</v>
      </c>
      <c r="C55" s="20">
        <v>5.69</v>
      </c>
      <c r="D55" s="20">
        <v>71.73</v>
      </c>
      <c r="E55" s="20">
        <v>0.97</v>
      </c>
      <c r="F55" s="20">
        <v>0.96</v>
      </c>
      <c r="G55" s="20">
        <v>17.399999999999999</v>
      </c>
      <c r="H55" s="20">
        <v>14.37</v>
      </c>
      <c r="I55" s="20">
        <v>41.07</v>
      </c>
      <c r="J55" s="20">
        <v>928.81</v>
      </c>
      <c r="K55" s="32">
        <v>868629.8600000001</v>
      </c>
      <c r="L55" s="2"/>
    </row>
    <row r="56" spans="1:12" x14ac:dyDescent="0.25">
      <c r="A56" s="58">
        <v>46025</v>
      </c>
      <c r="B56" s="18">
        <v>0.16666666666666666</v>
      </c>
      <c r="C56" s="20">
        <v>5.45</v>
      </c>
      <c r="D56" s="20">
        <v>71.540000000000006</v>
      </c>
      <c r="E56" s="20">
        <v>0.97</v>
      </c>
      <c r="F56" s="20">
        <v>0.56999999999999995</v>
      </c>
      <c r="G56" s="20">
        <v>17.41</v>
      </c>
      <c r="H56" s="20">
        <v>14.38</v>
      </c>
      <c r="I56" s="20">
        <v>40.99</v>
      </c>
      <c r="J56" s="20">
        <v>928.39</v>
      </c>
      <c r="K56" s="32">
        <v>852531.57000000007</v>
      </c>
      <c r="L56" s="2"/>
    </row>
    <row r="57" spans="1:12" x14ac:dyDescent="0.25">
      <c r="A57" s="58">
        <v>46025</v>
      </c>
      <c r="B57" s="18">
        <v>0.20833333333333334</v>
      </c>
      <c r="C57" s="20">
        <v>4.54</v>
      </c>
      <c r="D57" s="20">
        <v>71.010000000000005</v>
      </c>
      <c r="E57" s="20">
        <v>0.89</v>
      </c>
      <c r="F57" s="20">
        <v>0.37</v>
      </c>
      <c r="G57" s="20">
        <v>17.420000000000002</v>
      </c>
      <c r="H57" s="20">
        <v>14.39</v>
      </c>
      <c r="I57" s="20">
        <v>41.05</v>
      </c>
      <c r="J57" s="20">
        <v>927.93</v>
      </c>
      <c r="K57" s="32">
        <v>857920.6100000001</v>
      </c>
      <c r="L57" s="2"/>
    </row>
    <row r="58" spans="1:12" x14ac:dyDescent="0.25">
      <c r="A58" s="58">
        <v>46025</v>
      </c>
      <c r="B58" s="18">
        <v>0.25</v>
      </c>
      <c r="C58" s="20">
        <v>5.2</v>
      </c>
      <c r="D58" s="20">
        <v>70.430000000000007</v>
      </c>
      <c r="E58" s="20">
        <v>0.94</v>
      </c>
      <c r="F58" s="20">
        <v>1.31</v>
      </c>
      <c r="G58" s="20">
        <v>17.41</v>
      </c>
      <c r="H58" s="20">
        <v>14.36</v>
      </c>
      <c r="I58" s="20">
        <v>40.450000000000003</v>
      </c>
      <c r="J58" s="20">
        <v>927.48</v>
      </c>
      <c r="K58" s="32">
        <v>851959.83000000007</v>
      </c>
      <c r="L58" s="2"/>
    </row>
    <row r="59" spans="1:12" x14ac:dyDescent="0.25">
      <c r="A59" s="58">
        <v>46025</v>
      </c>
      <c r="B59" s="18">
        <v>0.29166666666666669</v>
      </c>
      <c r="C59" s="20">
        <v>5.84</v>
      </c>
      <c r="D59" s="20">
        <v>71.28</v>
      </c>
      <c r="E59" s="20">
        <v>0.91</v>
      </c>
      <c r="F59" s="20">
        <v>1.19</v>
      </c>
      <c r="G59" s="20">
        <v>17.399999999999999</v>
      </c>
      <c r="H59" s="20">
        <v>14.35</v>
      </c>
      <c r="I59" s="20">
        <v>40.04</v>
      </c>
      <c r="J59" s="20">
        <v>926.99</v>
      </c>
      <c r="K59" s="32">
        <v>857687.10000000009</v>
      </c>
      <c r="L59" s="2"/>
    </row>
    <row r="60" spans="1:12" x14ac:dyDescent="0.25">
      <c r="A60" s="58">
        <v>46025</v>
      </c>
      <c r="B60" s="18">
        <v>0.33333333333333331</v>
      </c>
      <c r="C60" s="20">
        <v>5.17</v>
      </c>
      <c r="D60" s="20">
        <v>71.95</v>
      </c>
      <c r="E60" s="20">
        <v>0.97</v>
      </c>
      <c r="F60" s="20">
        <v>0.75</v>
      </c>
      <c r="G60" s="20">
        <v>17.420000000000002</v>
      </c>
      <c r="H60" s="20">
        <v>14.35</v>
      </c>
      <c r="I60" s="20">
        <v>39.93</v>
      </c>
      <c r="J60" s="20">
        <v>926.96</v>
      </c>
      <c r="K60" s="32">
        <v>871927.06</v>
      </c>
      <c r="L60" s="2"/>
    </row>
    <row r="61" spans="1:12" x14ac:dyDescent="0.25">
      <c r="A61" s="58">
        <v>46025</v>
      </c>
      <c r="B61" s="18">
        <v>0.375</v>
      </c>
      <c r="C61" s="20">
        <v>6.33</v>
      </c>
      <c r="D61" s="20">
        <v>71.849999999999994</v>
      </c>
      <c r="E61" s="20">
        <v>1.06</v>
      </c>
      <c r="F61" s="20">
        <v>0.79</v>
      </c>
      <c r="G61" s="20">
        <v>17.46</v>
      </c>
      <c r="H61" s="20">
        <v>14.4</v>
      </c>
      <c r="I61" s="20">
        <v>40.909999999999997</v>
      </c>
      <c r="J61" s="20">
        <v>926.61</v>
      </c>
      <c r="K61" s="32">
        <v>908719.41999999993</v>
      </c>
      <c r="L61" s="2"/>
    </row>
    <row r="62" spans="1:12" x14ac:dyDescent="0.25">
      <c r="A62" s="58">
        <v>46025</v>
      </c>
      <c r="B62" s="18">
        <v>0.41666666666666669</v>
      </c>
      <c r="C62" s="20">
        <v>7.55</v>
      </c>
      <c r="D62" s="20">
        <v>70.69</v>
      </c>
      <c r="E62" s="20">
        <v>0.99</v>
      </c>
      <c r="F62" s="20">
        <v>1.34</v>
      </c>
      <c r="G62" s="20">
        <v>17.41</v>
      </c>
      <c r="H62" s="20">
        <v>14.47</v>
      </c>
      <c r="I62" s="20">
        <v>42.48</v>
      </c>
      <c r="J62" s="20">
        <v>926.67</v>
      </c>
      <c r="K62" s="32">
        <v>877448.97</v>
      </c>
      <c r="L62" s="2"/>
    </row>
    <row r="63" spans="1:12" x14ac:dyDescent="0.25">
      <c r="A63" s="58">
        <v>46025</v>
      </c>
      <c r="B63" s="18">
        <v>0.45833333333333331</v>
      </c>
      <c r="C63" s="20">
        <v>5.55</v>
      </c>
      <c r="D63" s="20">
        <v>69.81</v>
      </c>
      <c r="E63" s="20">
        <v>1.47</v>
      </c>
      <c r="F63" s="20">
        <v>0.86</v>
      </c>
      <c r="G63" s="20">
        <v>17.440000000000001</v>
      </c>
      <c r="H63" s="20">
        <v>14.48</v>
      </c>
      <c r="I63" s="20">
        <v>43.11</v>
      </c>
      <c r="J63" s="20">
        <v>927.62</v>
      </c>
      <c r="K63" s="32">
        <v>855622.98</v>
      </c>
      <c r="L63" s="2"/>
    </row>
    <row r="64" spans="1:12" x14ac:dyDescent="0.25">
      <c r="A64" s="58">
        <v>46025</v>
      </c>
      <c r="B64" s="18">
        <v>0.5</v>
      </c>
      <c r="C64" s="20">
        <v>5.76</v>
      </c>
      <c r="D64" s="20">
        <v>68.849999999999994</v>
      </c>
      <c r="E64" s="20">
        <v>1.28</v>
      </c>
      <c r="F64" s="20">
        <v>0.65</v>
      </c>
      <c r="G64" s="20">
        <v>17.420000000000002</v>
      </c>
      <c r="H64" s="20">
        <v>14.49</v>
      </c>
      <c r="I64" s="20">
        <v>43.37</v>
      </c>
      <c r="J64" s="20">
        <v>928.02</v>
      </c>
      <c r="K64" s="32">
        <v>840068.76</v>
      </c>
      <c r="L64" s="2"/>
    </row>
    <row r="65" spans="1:12" x14ac:dyDescent="0.25">
      <c r="A65" s="58">
        <v>46025</v>
      </c>
      <c r="B65" s="18">
        <v>0.54166666666666663</v>
      </c>
      <c r="C65" s="20">
        <v>6.4</v>
      </c>
      <c r="D65" s="20">
        <v>68.05</v>
      </c>
      <c r="E65" s="20">
        <v>1.19</v>
      </c>
      <c r="F65" s="20">
        <v>0.99</v>
      </c>
      <c r="G65" s="20">
        <v>17.43</v>
      </c>
      <c r="H65" s="20">
        <v>14.48</v>
      </c>
      <c r="I65" s="20">
        <v>43.27</v>
      </c>
      <c r="J65" s="20">
        <v>928.55</v>
      </c>
      <c r="K65" s="32">
        <v>845974</v>
      </c>
      <c r="L65" s="2"/>
    </row>
    <row r="66" spans="1:12" x14ac:dyDescent="0.25">
      <c r="A66" s="58">
        <v>46025</v>
      </c>
      <c r="B66" s="18">
        <v>0.58333333333333337</v>
      </c>
      <c r="C66" s="20">
        <v>7.22</v>
      </c>
      <c r="D66" s="20">
        <v>68.44</v>
      </c>
      <c r="E66" s="20">
        <v>1.29</v>
      </c>
      <c r="F66" s="20">
        <v>1.63</v>
      </c>
      <c r="G66" s="20">
        <v>17.45</v>
      </c>
      <c r="H66" s="20">
        <v>14.47</v>
      </c>
      <c r="I66" s="20">
        <v>43.18</v>
      </c>
      <c r="J66" s="20">
        <v>929.02</v>
      </c>
      <c r="K66" s="32">
        <v>873271.12000000011</v>
      </c>
      <c r="L66" s="2"/>
    </row>
    <row r="67" spans="1:12" x14ac:dyDescent="0.25">
      <c r="A67" s="58">
        <v>46025</v>
      </c>
      <c r="B67" s="18">
        <v>0.625</v>
      </c>
      <c r="C67" s="20">
        <v>6.48</v>
      </c>
      <c r="D67" s="20">
        <v>68.19</v>
      </c>
      <c r="E67" s="20">
        <v>1.21</v>
      </c>
      <c r="F67" s="20">
        <v>1.74</v>
      </c>
      <c r="G67" s="20">
        <v>17.45</v>
      </c>
      <c r="H67" s="20">
        <v>14.45</v>
      </c>
      <c r="I67" s="20">
        <v>43.17</v>
      </c>
      <c r="J67" s="20">
        <v>929.93</v>
      </c>
      <c r="K67" s="32">
        <v>890836.15999999992</v>
      </c>
      <c r="L67" s="2"/>
    </row>
    <row r="68" spans="1:12" x14ac:dyDescent="0.25">
      <c r="A68" s="58">
        <v>46025</v>
      </c>
      <c r="B68" s="18">
        <v>0.66666666666666663</v>
      </c>
      <c r="C68" s="20">
        <v>4.62</v>
      </c>
      <c r="D68" s="20">
        <v>67.680000000000007</v>
      </c>
      <c r="E68" s="20">
        <v>1.03</v>
      </c>
      <c r="F68" s="20">
        <v>1.94</v>
      </c>
      <c r="G68" s="20">
        <v>17.41</v>
      </c>
      <c r="H68" s="20">
        <v>14.45</v>
      </c>
      <c r="I68" s="20">
        <v>43.46</v>
      </c>
      <c r="J68" s="20">
        <v>930.72</v>
      </c>
      <c r="K68" s="32">
        <v>903983.3899999999</v>
      </c>
      <c r="L68" s="2"/>
    </row>
    <row r="69" spans="1:12" x14ac:dyDescent="0.25">
      <c r="A69" s="58">
        <v>46025</v>
      </c>
      <c r="B69" s="18">
        <v>0.70833333333333337</v>
      </c>
      <c r="C69" s="20">
        <v>4.46</v>
      </c>
      <c r="D69" s="20">
        <v>68.56</v>
      </c>
      <c r="E69" s="20">
        <v>1.32</v>
      </c>
      <c r="F69" s="20">
        <v>1.0900000000000001</v>
      </c>
      <c r="G69" s="20">
        <v>17.48</v>
      </c>
      <c r="H69" s="20">
        <v>14.39</v>
      </c>
      <c r="I69" s="20">
        <v>42.53</v>
      </c>
      <c r="J69" s="20">
        <v>932.28</v>
      </c>
      <c r="K69" s="32">
        <v>879781.72</v>
      </c>
      <c r="L69" s="2"/>
    </row>
    <row r="70" spans="1:12" x14ac:dyDescent="0.25">
      <c r="A70" s="58">
        <v>46025</v>
      </c>
      <c r="B70" s="18">
        <v>0.75</v>
      </c>
      <c r="C70" s="20">
        <v>5.05</v>
      </c>
      <c r="D70" s="20">
        <v>69.09</v>
      </c>
      <c r="E70" s="20">
        <v>1.61</v>
      </c>
      <c r="F70" s="20">
        <v>0.96</v>
      </c>
      <c r="G70" s="20">
        <v>17.52</v>
      </c>
      <c r="H70" s="20">
        <v>14.32</v>
      </c>
      <c r="I70" s="20">
        <v>41.62</v>
      </c>
      <c r="J70" s="20">
        <v>933.81</v>
      </c>
      <c r="K70" s="32">
        <v>881363.6399999999</v>
      </c>
      <c r="L70" s="2"/>
    </row>
    <row r="71" spans="1:12" x14ac:dyDescent="0.25">
      <c r="A71" s="58">
        <v>46025</v>
      </c>
      <c r="B71" s="18">
        <v>0.79166666666666663</v>
      </c>
      <c r="C71" s="20">
        <v>4.99</v>
      </c>
      <c r="D71" s="20">
        <v>69.83</v>
      </c>
      <c r="E71" s="20">
        <v>1.65</v>
      </c>
      <c r="F71" s="20">
        <v>0.89</v>
      </c>
      <c r="G71" s="20">
        <v>17.54</v>
      </c>
      <c r="H71" s="20">
        <v>14.28</v>
      </c>
      <c r="I71" s="20">
        <v>41.08</v>
      </c>
      <c r="J71" s="20">
        <v>934.85</v>
      </c>
      <c r="K71" s="32">
        <v>897215.23</v>
      </c>
      <c r="L71" s="2"/>
    </row>
    <row r="72" spans="1:12" x14ac:dyDescent="0.25">
      <c r="A72" s="58">
        <v>46025</v>
      </c>
      <c r="B72" s="18">
        <v>0.83333333333333337</v>
      </c>
      <c r="C72" s="20">
        <v>4.67</v>
      </c>
      <c r="D72" s="20">
        <v>70.73</v>
      </c>
      <c r="E72" s="20">
        <v>2.02</v>
      </c>
      <c r="F72" s="20">
        <v>0.51</v>
      </c>
      <c r="G72" s="20">
        <v>17.559999999999999</v>
      </c>
      <c r="H72" s="20">
        <v>14.25</v>
      </c>
      <c r="I72" s="20">
        <v>40.659999999999997</v>
      </c>
      <c r="J72" s="20">
        <v>935.55</v>
      </c>
      <c r="K72" s="32">
        <v>895546.75</v>
      </c>
      <c r="L72" s="2"/>
    </row>
    <row r="73" spans="1:12" x14ac:dyDescent="0.25">
      <c r="A73" s="58">
        <v>46025</v>
      </c>
      <c r="B73" s="18">
        <v>0.875</v>
      </c>
      <c r="C73" s="20">
        <v>4.05</v>
      </c>
      <c r="D73" s="20">
        <v>71.7</v>
      </c>
      <c r="E73" s="20">
        <v>2.84</v>
      </c>
      <c r="F73" s="20">
        <v>0.55000000000000004</v>
      </c>
      <c r="G73" s="20">
        <v>17.559999999999999</v>
      </c>
      <c r="H73" s="20">
        <v>14.22</v>
      </c>
      <c r="I73" s="20">
        <v>40.299999999999997</v>
      </c>
      <c r="J73" s="20">
        <v>936.16</v>
      </c>
      <c r="K73" s="32">
        <v>901113.42999999993</v>
      </c>
      <c r="L73" s="2"/>
    </row>
    <row r="74" spans="1:12" x14ac:dyDescent="0.25">
      <c r="A74" s="58">
        <v>46025</v>
      </c>
      <c r="B74" s="18">
        <v>0.91666666666666663</v>
      </c>
      <c r="C74" s="20">
        <v>4.55</v>
      </c>
      <c r="D74" s="20">
        <v>71.319999999999993</v>
      </c>
      <c r="E74" s="20">
        <v>2.59</v>
      </c>
      <c r="F74" s="20">
        <v>0.43</v>
      </c>
      <c r="G74" s="20">
        <v>17.57</v>
      </c>
      <c r="H74" s="20">
        <v>14.21</v>
      </c>
      <c r="I74" s="20">
        <v>40.130000000000003</v>
      </c>
      <c r="J74" s="20">
        <v>936.48</v>
      </c>
      <c r="K74" s="32">
        <v>895925.62999999989</v>
      </c>
      <c r="L74" s="2"/>
    </row>
    <row r="75" spans="1:12" ht="15.75" thickBot="1" x14ac:dyDescent="0.3">
      <c r="A75" s="60">
        <v>46025</v>
      </c>
      <c r="B75" s="35">
        <v>0.95833333333333337</v>
      </c>
      <c r="C75" s="24">
        <v>3.57</v>
      </c>
      <c r="D75" s="24">
        <v>71.16</v>
      </c>
      <c r="E75" s="24">
        <v>2.21</v>
      </c>
      <c r="F75" s="24">
        <v>0.4</v>
      </c>
      <c r="G75" s="24">
        <v>17.559999999999999</v>
      </c>
      <c r="H75" s="24">
        <v>14.21</v>
      </c>
      <c r="I75" s="24">
        <v>40.06</v>
      </c>
      <c r="J75" s="24">
        <v>936.73</v>
      </c>
      <c r="K75" s="36">
        <v>896183.57000000007</v>
      </c>
      <c r="L75" s="2"/>
    </row>
    <row r="76" spans="1:12" ht="15.75" thickBot="1" x14ac:dyDescent="0.3">
      <c r="A76" s="26" t="s">
        <v>14</v>
      </c>
      <c r="B76" s="44"/>
      <c r="C76" s="45">
        <f t="shared" ref="C76:K76" si="2">IFERROR(ROUND(AVERAGE(C52:C75), 2), "")</f>
        <v>5.47</v>
      </c>
      <c r="D76" s="45">
        <f t="shared" si="2"/>
        <v>70.44</v>
      </c>
      <c r="E76" s="45">
        <f t="shared" si="2"/>
        <v>1.35</v>
      </c>
      <c r="F76" s="45">
        <f t="shared" si="2"/>
        <v>1</v>
      </c>
      <c r="G76" s="45">
        <f t="shared" si="2"/>
        <v>17.46</v>
      </c>
      <c r="H76" s="45">
        <f t="shared" si="2"/>
        <v>14.37</v>
      </c>
      <c r="I76" s="45">
        <f t="shared" si="2"/>
        <v>41.42</v>
      </c>
      <c r="J76" s="45">
        <f t="shared" si="2"/>
        <v>930.35</v>
      </c>
      <c r="K76" s="46">
        <f t="shared" si="2"/>
        <v>872596.94</v>
      </c>
      <c r="L76" s="7"/>
    </row>
    <row r="77" spans="1:12" x14ac:dyDescent="0.25">
      <c r="A77" s="57">
        <v>46026</v>
      </c>
      <c r="B77" s="14">
        <v>0</v>
      </c>
      <c r="C77" s="16">
        <v>4.1900000000000004</v>
      </c>
      <c r="D77" s="16">
        <v>71.180000000000007</v>
      </c>
      <c r="E77" s="16">
        <v>1.45</v>
      </c>
      <c r="F77" s="16">
        <v>0.21</v>
      </c>
      <c r="G77" s="16">
        <v>17.55</v>
      </c>
      <c r="H77" s="16">
        <v>14.21</v>
      </c>
      <c r="I77" s="16">
        <v>39.950000000000003</v>
      </c>
      <c r="J77" s="16">
        <v>936.24</v>
      </c>
      <c r="K77" s="31">
        <v>886250.84000000008</v>
      </c>
      <c r="L77" s="2"/>
    </row>
    <row r="78" spans="1:12" x14ac:dyDescent="0.25">
      <c r="A78" s="58">
        <v>46026</v>
      </c>
      <c r="B78" s="18">
        <v>4.1666666666666664E-2</v>
      </c>
      <c r="C78" s="20">
        <v>2.95</v>
      </c>
      <c r="D78" s="20">
        <v>71.38</v>
      </c>
      <c r="E78" s="20">
        <v>1.24</v>
      </c>
      <c r="F78" s="20">
        <v>0.11</v>
      </c>
      <c r="G78" s="20">
        <v>17.559999999999999</v>
      </c>
      <c r="H78" s="20">
        <v>14.21</v>
      </c>
      <c r="I78" s="20">
        <v>39.950000000000003</v>
      </c>
      <c r="J78" s="20">
        <v>936.1</v>
      </c>
      <c r="K78" s="32">
        <v>892227.87000000011</v>
      </c>
      <c r="L78" s="2"/>
    </row>
    <row r="79" spans="1:12" x14ac:dyDescent="0.25">
      <c r="A79" s="58">
        <v>46026</v>
      </c>
      <c r="B79" s="18">
        <v>8.3333333333333329E-2</v>
      </c>
      <c r="C79" s="20">
        <v>4.13</v>
      </c>
      <c r="D79" s="20">
        <v>71.86</v>
      </c>
      <c r="E79" s="20">
        <v>1.63</v>
      </c>
      <c r="F79" s="20">
        <v>0.34</v>
      </c>
      <c r="G79" s="20">
        <v>17.54</v>
      </c>
      <c r="H79" s="20">
        <v>14.2</v>
      </c>
      <c r="I79" s="20">
        <v>39.76</v>
      </c>
      <c r="J79" s="20">
        <v>935.98</v>
      </c>
      <c r="K79" s="32">
        <v>866160.58000000007</v>
      </c>
      <c r="L79" s="2"/>
    </row>
    <row r="80" spans="1:12" x14ac:dyDescent="0.25">
      <c r="A80" s="58">
        <v>46026</v>
      </c>
      <c r="B80" s="18">
        <v>0.125</v>
      </c>
      <c r="C80" s="20">
        <v>3.65</v>
      </c>
      <c r="D80" s="20">
        <v>71.540000000000006</v>
      </c>
      <c r="E80" s="20">
        <v>2.4</v>
      </c>
      <c r="F80" s="20">
        <v>0.28999999999999998</v>
      </c>
      <c r="G80" s="20">
        <v>17.559999999999999</v>
      </c>
      <c r="H80" s="20">
        <v>14.2</v>
      </c>
      <c r="I80" s="20">
        <v>39.659999999999997</v>
      </c>
      <c r="J80" s="20">
        <v>935.77</v>
      </c>
      <c r="K80" s="32">
        <v>879132.97</v>
      </c>
      <c r="L80" s="2"/>
    </row>
    <row r="81" spans="1:12" x14ac:dyDescent="0.25">
      <c r="A81" s="58">
        <v>46026</v>
      </c>
      <c r="B81" s="18">
        <v>0.16666666666666666</v>
      </c>
      <c r="C81" s="20">
        <v>5.88</v>
      </c>
      <c r="D81" s="20">
        <v>71.88</v>
      </c>
      <c r="E81" s="20">
        <v>2.02</v>
      </c>
      <c r="F81" s="20">
        <v>0.23</v>
      </c>
      <c r="G81" s="20">
        <v>17.579999999999998</v>
      </c>
      <c r="H81" s="20">
        <v>14.2</v>
      </c>
      <c r="I81" s="20">
        <v>39.409999999999997</v>
      </c>
      <c r="J81" s="20">
        <v>935.29</v>
      </c>
      <c r="K81" s="32">
        <v>901506.35000000009</v>
      </c>
      <c r="L81" s="2"/>
    </row>
    <row r="82" spans="1:12" x14ac:dyDescent="0.25">
      <c r="A82" s="58">
        <v>46026</v>
      </c>
      <c r="B82" s="18">
        <v>0.20833333333333334</v>
      </c>
      <c r="C82" s="20">
        <v>5.43</v>
      </c>
      <c r="D82" s="20">
        <v>70.739999999999995</v>
      </c>
      <c r="E82" s="20">
        <v>1.81</v>
      </c>
      <c r="F82" s="20">
        <v>0.28000000000000003</v>
      </c>
      <c r="G82" s="20">
        <v>17.55</v>
      </c>
      <c r="H82" s="20">
        <v>14.21</v>
      </c>
      <c r="I82" s="20">
        <v>39.53</v>
      </c>
      <c r="J82" s="20">
        <v>934.79</v>
      </c>
      <c r="K82" s="32">
        <v>906898.35000000009</v>
      </c>
      <c r="L82" s="2"/>
    </row>
    <row r="83" spans="1:12" x14ac:dyDescent="0.25">
      <c r="A83" s="58">
        <v>46026</v>
      </c>
      <c r="B83" s="18">
        <v>0.25</v>
      </c>
      <c r="C83" s="20">
        <v>4.55</v>
      </c>
      <c r="D83" s="20">
        <v>68.489999999999995</v>
      </c>
      <c r="E83" s="20">
        <v>1.67</v>
      </c>
      <c r="F83" s="20">
        <v>1.76</v>
      </c>
      <c r="G83" s="20">
        <v>17.52</v>
      </c>
      <c r="H83" s="20">
        <v>14.23</v>
      </c>
      <c r="I83" s="20">
        <v>39.75</v>
      </c>
      <c r="J83" s="20">
        <v>933.89</v>
      </c>
      <c r="K83" s="32">
        <v>912645.44</v>
      </c>
      <c r="L83" s="2"/>
    </row>
    <row r="84" spans="1:12" x14ac:dyDescent="0.25">
      <c r="A84" s="58">
        <v>46026</v>
      </c>
      <c r="B84" s="18">
        <v>0.29166666666666669</v>
      </c>
      <c r="C84" s="20">
        <v>4.0199999999999996</v>
      </c>
      <c r="D84" s="20">
        <v>70.8</v>
      </c>
      <c r="E84" s="20">
        <v>2.48</v>
      </c>
      <c r="F84" s="20">
        <v>4.72</v>
      </c>
      <c r="G84" s="20">
        <v>17.440000000000001</v>
      </c>
      <c r="H84" s="20">
        <v>14.26</v>
      </c>
      <c r="I84" s="20">
        <v>40.15</v>
      </c>
      <c r="J84" s="20">
        <v>933.31</v>
      </c>
      <c r="K84" s="32">
        <v>945018.34000000008</v>
      </c>
      <c r="L84" s="2"/>
    </row>
    <row r="85" spans="1:12" x14ac:dyDescent="0.25">
      <c r="A85" s="58">
        <v>46026</v>
      </c>
      <c r="B85" s="18">
        <v>0.33333333333333331</v>
      </c>
      <c r="C85" s="20">
        <v>4.6900000000000004</v>
      </c>
      <c r="D85" s="20">
        <v>71.290000000000006</v>
      </c>
      <c r="E85" s="20">
        <v>2.25</v>
      </c>
      <c r="F85" s="20">
        <v>2.1</v>
      </c>
      <c r="G85" s="20">
        <v>17.440000000000001</v>
      </c>
      <c r="H85" s="20">
        <v>14.26</v>
      </c>
      <c r="I85" s="20">
        <v>39.93</v>
      </c>
      <c r="J85" s="20">
        <v>932.99</v>
      </c>
      <c r="K85" s="32">
        <v>953605.58000000007</v>
      </c>
      <c r="L85" s="2"/>
    </row>
    <row r="86" spans="1:12" x14ac:dyDescent="0.25">
      <c r="A86" s="58">
        <v>46026</v>
      </c>
      <c r="B86" s="18">
        <v>0.375</v>
      </c>
      <c r="C86" s="20">
        <v>5.19</v>
      </c>
      <c r="D86" s="20">
        <v>71.599999999999994</v>
      </c>
      <c r="E86" s="20">
        <v>1.52</v>
      </c>
      <c r="F86" s="20">
        <v>1.81</v>
      </c>
      <c r="G86" s="20">
        <v>17.43</v>
      </c>
      <c r="H86" s="20">
        <v>14.24</v>
      </c>
      <c r="I86" s="20">
        <v>39.729999999999997</v>
      </c>
      <c r="J86" s="20">
        <v>933.05</v>
      </c>
      <c r="K86" s="32">
        <v>944410.22</v>
      </c>
      <c r="L86" s="2"/>
    </row>
    <row r="87" spans="1:12" x14ac:dyDescent="0.25">
      <c r="A87" s="58">
        <v>46026</v>
      </c>
      <c r="B87" s="18">
        <v>0.41666666666666669</v>
      </c>
      <c r="C87" s="20">
        <v>4.43</v>
      </c>
      <c r="D87" s="20">
        <v>71.64</v>
      </c>
      <c r="E87" s="20">
        <v>1.71</v>
      </c>
      <c r="F87" s="20">
        <v>1.92</v>
      </c>
      <c r="G87" s="20">
        <v>17.440000000000001</v>
      </c>
      <c r="H87" s="20">
        <v>14.24</v>
      </c>
      <c r="I87" s="20">
        <v>39.630000000000003</v>
      </c>
      <c r="J87" s="20">
        <v>933.27</v>
      </c>
      <c r="K87" s="32">
        <v>944453.19</v>
      </c>
      <c r="L87" s="2"/>
    </row>
    <row r="88" spans="1:12" x14ac:dyDescent="0.25">
      <c r="A88" s="58">
        <v>46026</v>
      </c>
      <c r="B88" s="18">
        <v>0.45833333333333331</v>
      </c>
      <c r="C88" s="20">
        <v>4.59</v>
      </c>
      <c r="D88" s="20">
        <v>71.72</v>
      </c>
      <c r="E88" s="20">
        <v>2.17</v>
      </c>
      <c r="F88" s="20">
        <v>1.79</v>
      </c>
      <c r="G88" s="20">
        <v>17.46</v>
      </c>
      <c r="H88" s="20">
        <v>14.24</v>
      </c>
      <c r="I88" s="20">
        <v>39.58</v>
      </c>
      <c r="J88" s="20">
        <v>932.74</v>
      </c>
      <c r="K88" s="32">
        <v>927836.27</v>
      </c>
      <c r="L88" s="2"/>
    </row>
    <row r="89" spans="1:12" x14ac:dyDescent="0.25">
      <c r="A89" s="58">
        <v>46026</v>
      </c>
      <c r="B89" s="18">
        <v>0.5</v>
      </c>
      <c r="C89" s="20">
        <v>4.87</v>
      </c>
      <c r="D89" s="20">
        <v>70.760000000000005</v>
      </c>
      <c r="E89" s="20">
        <v>2.36</v>
      </c>
      <c r="F89" s="20">
        <v>2.59</v>
      </c>
      <c r="G89" s="20">
        <v>17.47</v>
      </c>
      <c r="H89" s="20">
        <v>14.25</v>
      </c>
      <c r="I89" s="20">
        <v>39.58</v>
      </c>
      <c r="J89" s="20">
        <v>932.47</v>
      </c>
      <c r="K89" s="32">
        <v>905937.69</v>
      </c>
      <c r="L89" s="2"/>
    </row>
    <row r="90" spans="1:12" x14ac:dyDescent="0.25">
      <c r="A90" s="58">
        <v>46026</v>
      </c>
      <c r="B90" s="18">
        <v>0.54166666666666663</v>
      </c>
      <c r="C90" s="20">
        <v>4.0599999999999996</v>
      </c>
      <c r="D90" s="20">
        <v>70.11</v>
      </c>
      <c r="E90" s="20">
        <v>2.15</v>
      </c>
      <c r="F90" s="20">
        <v>2.4500000000000002</v>
      </c>
      <c r="G90" s="20">
        <v>17.420000000000002</v>
      </c>
      <c r="H90" s="20">
        <v>14.26</v>
      </c>
      <c r="I90" s="20">
        <v>39.840000000000003</v>
      </c>
      <c r="J90" s="20">
        <v>932.66</v>
      </c>
      <c r="K90" s="32">
        <v>895551.17999999993</v>
      </c>
      <c r="L90" s="2"/>
    </row>
    <row r="91" spans="1:12" x14ac:dyDescent="0.25">
      <c r="A91" s="58">
        <v>46026</v>
      </c>
      <c r="B91" s="18">
        <v>0.58333333333333337</v>
      </c>
      <c r="C91" s="20">
        <v>4.8099999999999996</v>
      </c>
      <c r="D91" s="20">
        <v>70.28</v>
      </c>
      <c r="E91" s="20">
        <v>1.84</v>
      </c>
      <c r="F91" s="20">
        <v>2.5099999999999998</v>
      </c>
      <c r="G91" s="20">
        <v>17.420000000000002</v>
      </c>
      <c r="H91" s="20">
        <v>14.26</v>
      </c>
      <c r="I91" s="20">
        <v>39.9</v>
      </c>
      <c r="J91" s="20">
        <v>932.78</v>
      </c>
      <c r="K91" s="32">
        <v>895669.29</v>
      </c>
      <c r="L91" s="2"/>
    </row>
    <row r="92" spans="1:12" x14ac:dyDescent="0.25">
      <c r="A92" s="58">
        <v>46026</v>
      </c>
      <c r="B92" s="18">
        <v>0.625</v>
      </c>
      <c r="C92" s="20">
        <v>3.95</v>
      </c>
      <c r="D92" s="20">
        <v>70.47</v>
      </c>
      <c r="E92" s="20">
        <v>1.9</v>
      </c>
      <c r="F92" s="20">
        <v>2.89</v>
      </c>
      <c r="G92" s="20">
        <v>17.41</v>
      </c>
      <c r="H92" s="20">
        <v>14.25</v>
      </c>
      <c r="I92" s="20">
        <v>39.909999999999997</v>
      </c>
      <c r="J92" s="20">
        <v>933.41</v>
      </c>
      <c r="K92" s="32">
        <v>898862.73</v>
      </c>
      <c r="L92" s="2"/>
    </row>
    <row r="93" spans="1:12" x14ac:dyDescent="0.25">
      <c r="A93" s="58">
        <v>46026</v>
      </c>
      <c r="B93" s="18">
        <v>0.66666666666666663</v>
      </c>
      <c r="C93" s="20">
        <v>3.66</v>
      </c>
      <c r="D93" s="20">
        <v>69.069999999999993</v>
      </c>
      <c r="E93" s="20">
        <v>1.76</v>
      </c>
      <c r="F93" s="20">
        <v>3.52</v>
      </c>
      <c r="G93" s="20">
        <v>17.420000000000002</v>
      </c>
      <c r="H93" s="20">
        <v>14.25</v>
      </c>
      <c r="I93" s="20">
        <v>39.979999999999997</v>
      </c>
      <c r="J93" s="20">
        <v>933.72</v>
      </c>
      <c r="K93" s="32">
        <v>890062.56</v>
      </c>
      <c r="L93" s="2"/>
    </row>
    <row r="94" spans="1:12" x14ac:dyDescent="0.25">
      <c r="A94" s="58">
        <v>46026</v>
      </c>
      <c r="B94" s="18">
        <v>0.70833333333333337</v>
      </c>
      <c r="C94" s="20">
        <v>4.6100000000000003</v>
      </c>
      <c r="D94" s="20">
        <v>69.56</v>
      </c>
      <c r="E94" s="20">
        <v>2.21</v>
      </c>
      <c r="F94" s="20">
        <v>3.7</v>
      </c>
      <c r="G94" s="20">
        <v>17.45</v>
      </c>
      <c r="H94" s="20">
        <v>14.23</v>
      </c>
      <c r="I94" s="20">
        <v>39.81</v>
      </c>
      <c r="J94" s="20">
        <v>934.41</v>
      </c>
      <c r="K94" s="32">
        <v>904862.8600000001</v>
      </c>
      <c r="L94" s="2"/>
    </row>
    <row r="95" spans="1:12" x14ac:dyDescent="0.25">
      <c r="A95" s="58">
        <v>46026</v>
      </c>
      <c r="B95" s="18">
        <v>0.75</v>
      </c>
      <c r="C95" s="20">
        <v>4.6399999999999997</v>
      </c>
      <c r="D95" s="20">
        <v>69.48</v>
      </c>
      <c r="E95" s="20">
        <v>2.09</v>
      </c>
      <c r="F95" s="20">
        <v>3.09</v>
      </c>
      <c r="G95" s="20">
        <v>17.46</v>
      </c>
      <c r="H95" s="20">
        <v>14.21</v>
      </c>
      <c r="I95" s="20">
        <v>39.83</v>
      </c>
      <c r="J95" s="20">
        <v>935.92</v>
      </c>
      <c r="K95" s="32">
        <v>919478.8</v>
      </c>
      <c r="L95" s="2"/>
    </row>
    <row r="96" spans="1:12" x14ac:dyDescent="0.25">
      <c r="A96" s="58">
        <v>46026</v>
      </c>
      <c r="B96" s="18">
        <v>0.79166666666666663</v>
      </c>
      <c r="C96" s="20">
        <v>3.57</v>
      </c>
      <c r="D96" s="20">
        <v>71.27</v>
      </c>
      <c r="E96" s="20">
        <v>1.81</v>
      </c>
      <c r="F96" s="20">
        <v>1.98</v>
      </c>
      <c r="G96" s="20">
        <v>17.46</v>
      </c>
      <c r="H96" s="20">
        <v>14.2</v>
      </c>
      <c r="I96" s="20">
        <v>39.79</v>
      </c>
      <c r="J96" s="20">
        <v>936.5</v>
      </c>
      <c r="K96" s="32">
        <v>906885</v>
      </c>
      <c r="L96" s="2"/>
    </row>
    <row r="97" spans="1:12" x14ac:dyDescent="0.25">
      <c r="A97" s="58">
        <v>46026</v>
      </c>
      <c r="B97" s="18">
        <v>0.83333333333333337</v>
      </c>
      <c r="C97" s="20">
        <v>4.24</v>
      </c>
      <c r="D97" s="20">
        <v>72.52</v>
      </c>
      <c r="E97" s="20">
        <v>2.31</v>
      </c>
      <c r="F97" s="20">
        <v>1.19</v>
      </c>
      <c r="G97" s="20">
        <v>17.48</v>
      </c>
      <c r="H97" s="20">
        <v>14.19</v>
      </c>
      <c r="I97" s="20">
        <v>40.03</v>
      </c>
      <c r="J97" s="20">
        <v>937.62</v>
      </c>
      <c r="K97" s="32">
        <v>918478.17999999993</v>
      </c>
      <c r="L97" s="2"/>
    </row>
    <row r="98" spans="1:12" x14ac:dyDescent="0.25">
      <c r="A98" s="58">
        <v>46026</v>
      </c>
      <c r="B98" s="18">
        <v>0.875</v>
      </c>
      <c r="C98" s="20">
        <v>4.2699999999999996</v>
      </c>
      <c r="D98" s="20">
        <v>71.900000000000006</v>
      </c>
      <c r="E98" s="20">
        <v>2.39</v>
      </c>
      <c r="F98" s="20">
        <v>1.1299999999999999</v>
      </c>
      <c r="G98" s="20">
        <v>17.47</v>
      </c>
      <c r="H98" s="20">
        <v>14.17</v>
      </c>
      <c r="I98" s="20">
        <v>39.96</v>
      </c>
      <c r="J98" s="20">
        <v>938.78</v>
      </c>
      <c r="K98" s="32">
        <v>913286.95</v>
      </c>
      <c r="L98" s="2"/>
    </row>
    <row r="99" spans="1:12" x14ac:dyDescent="0.25">
      <c r="A99" s="58">
        <v>46026</v>
      </c>
      <c r="B99" s="18">
        <v>0.91666666666666663</v>
      </c>
      <c r="C99" s="20">
        <v>3.13</v>
      </c>
      <c r="D99" s="20">
        <v>72.66</v>
      </c>
      <c r="E99" s="20">
        <v>1.9</v>
      </c>
      <c r="F99" s="20">
        <v>1.0900000000000001</v>
      </c>
      <c r="G99" s="20">
        <v>17.48</v>
      </c>
      <c r="H99" s="20">
        <v>14.16</v>
      </c>
      <c r="I99" s="20">
        <v>39.85</v>
      </c>
      <c r="J99" s="20">
        <v>939.35</v>
      </c>
      <c r="K99" s="32">
        <v>918741.10000000009</v>
      </c>
      <c r="L99" s="2"/>
    </row>
    <row r="100" spans="1:12" ht="15.75" thickBot="1" x14ac:dyDescent="0.3">
      <c r="A100" s="59">
        <v>46026</v>
      </c>
      <c r="B100" s="22">
        <v>0.95833333333333337</v>
      </c>
      <c r="C100" s="33">
        <v>2.87</v>
      </c>
      <c r="D100" s="33">
        <v>72.959999999999994</v>
      </c>
      <c r="E100" s="33">
        <v>1.97</v>
      </c>
      <c r="F100" s="33">
        <v>0.77</v>
      </c>
      <c r="G100" s="33">
        <v>17.489999999999998</v>
      </c>
      <c r="H100" s="33">
        <v>14.15</v>
      </c>
      <c r="I100" s="33">
        <v>39.86</v>
      </c>
      <c r="J100" s="33">
        <v>939.71</v>
      </c>
      <c r="K100" s="34">
        <v>923000.27</v>
      </c>
      <c r="L100" s="2"/>
    </row>
    <row r="101" spans="1:12" ht="15.75" thickBot="1" x14ac:dyDescent="0.3">
      <c r="A101" s="26" t="s">
        <v>15</v>
      </c>
      <c r="B101" s="44"/>
      <c r="C101" s="45">
        <f t="shared" ref="C101:K101" si="3">IFERROR(ROUND(AVERAGE(C77:C100), 2), "")</f>
        <v>4.2699999999999996</v>
      </c>
      <c r="D101" s="45">
        <f t="shared" si="3"/>
        <v>71.05</v>
      </c>
      <c r="E101" s="45">
        <f t="shared" si="3"/>
        <v>1.96</v>
      </c>
      <c r="F101" s="45">
        <f t="shared" si="3"/>
        <v>1.77</v>
      </c>
      <c r="G101" s="45">
        <f t="shared" si="3"/>
        <v>17.48</v>
      </c>
      <c r="H101" s="45">
        <f t="shared" si="3"/>
        <v>14.22</v>
      </c>
      <c r="I101" s="45">
        <f t="shared" si="3"/>
        <v>39.81</v>
      </c>
      <c r="J101" s="45">
        <f t="shared" si="3"/>
        <v>935.03</v>
      </c>
      <c r="K101" s="46">
        <f t="shared" si="3"/>
        <v>910456.78</v>
      </c>
      <c r="L101" s="7"/>
    </row>
    <row r="102" spans="1:12" x14ac:dyDescent="0.25">
      <c r="A102" s="57">
        <v>46027</v>
      </c>
      <c r="B102" s="14">
        <v>0</v>
      </c>
      <c r="C102" s="16">
        <v>2.21</v>
      </c>
      <c r="D102" s="16">
        <v>73.709999999999994</v>
      </c>
      <c r="E102" s="16">
        <v>2.1800000000000002</v>
      </c>
      <c r="F102" s="16">
        <v>0.62</v>
      </c>
      <c r="G102" s="16">
        <v>17.489999999999998</v>
      </c>
      <c r="H102" s="16">
        <v>14.14</v>
      </c>
      <c r="I102" s="16">
        <v>39.799999999999997</v>
      </c>
      <c r="J102" s="16">
        <v>940.51</v>
      </c>
      <c r="K102" s="31">
        <v>914960.94</v>
      </c>
      <c r="L102" s="2"/>
    </row>
    <row r="103" spans="1:12" x14ac:dyDescent="0.25">
      <c r="A103" s="58">
        <v>46027</v>
      </c>
      <c r="B103" s="18">
        <v>4.1666666666666664E-2</v>
      </c>
      <c r="C103" s="20">
        <v>3.55</v>
      </c>
      <c r="D103" s="20">
        <v>72.739999999999995</v>
      </c>
      <c r="E103" s="20">
        <v>2.93</v>
      </c>
      <c r="F103" s="20">
        <v>0.75</v>
      </c>
      <c r="G103" s="20">
        <v>17.5</v>
      </c>
      <c r="H103" s="20">
        <v>14.14</v>
      </c>
      <c r="I103" s="20">
        <v>39.81</v>
      </c>
      <c r="J103" s="20">
        <v>940.36</v>
      </c>
      <c r="K103" s="32">
        <v>917818.65999999992</v>
      </c>
      <c r="L103" s="2"/>
    </row>
    <row r="104" spans="1:12" x14ac:dyDescent="0.25">
      <c r="A104" s="58">
        <v>46027</v>
      </c>
      <c r="B104" s="18">
        <v>8.3333333333333329E-2</v>
      </c>
      <c r="C104" s="20">
        <v>3.82</v>
      </c>
      <c r="D104" s="20">
        <v>72.94</v>
      </c>
      <c r="E104" s="20">
        <v>2.2000000000000002</v>
      </c>
      <c r="F104" s="20">
        <v>1.1299999999999999</v>
      </c>
      <c r="G104" s="20">
        <v>17.510000000000002</v>
      </c>
      <c r="H104" s="20">
        <v>14.15</v>
      </c>
      <c r="I104" s="20">
        <v>40.29</v>
      </c>
      <c r="J104" s="20">
        <v>940.87</v>
      </c>
      <c r="K104" s="32">
        <v>959221.22</v>
      </c>
      <c r="L104" s="2"/>
    </row>
    <row r="105" spans="1:12" x14ac:dyDescent="0.25">
      <c r="A105" s="58">
        <v>46027</v>
      </c>
      <c r="B105" s="18">
        <v>0.125</v>
      </c>
      <c r="C105" s="20">
        <v>4.57</v>
      </c>
      <c r="D105" s="20">
        <v>74.680000000000007</v>
      </c>
      <c r="E105" s="20">
        <v>1.82</v>
      </c>
      <c r="F105" s="20">
        <v>0.56999999999999995</v>
      </c>
      <c r="G105" s="20">
        <v>17.489999999999998</v>
      </c>
      <c r="H105" s="20">
        <v>14.14</v>
      </c>
      <c r="I105" s="20">
        <v>40.21</v>
      </c>
      <c r="J105" s="20">
        <v>941.21</v>
      </c>
      <c r="K105" s="32">
        <v>976232.3</v>
      </c>
      <c r="L105" s="2"/>
    </row>
    <row r="106" spans="1:12" x14ac:dyDescent="0.25">
      <c r="A106" s="58">
        <v>46027</v>
      </c>
      <c r="B106" s="18">
        <v>0.16666666666666666</v>
      </c>
      <c r="C106" s="20">
        <v>6.32</v>
      </c>
      <c r="D106" s="20">
        <v>75.67</v>
      </c>
      <c r="E106" s="20">
        <v>1.23</v>
      </c>
      <c r="F106" s="20">
        <v>0.68</v>
      </c>
      <c r="G106" s="20">
        <v>17.5</v>
      </c>
      <c r="H106" s="20">
        <v>14.12</v>
      </c>
      <c r="I106" s="20">
        <v>39.700000000000003</v>
      </c>
      <c r="J106" s="20">
        <v>941.28</v>
      </c>
      <c r="K106" s="32">
        <v>986285.32000000007</v>
      </c>
      <c r="L106" s="2"/>
    </row>
    <row r="107" spans="1:12" x14ac:dyDescent="0.25">
      <c r="A107" s="58">
        <v>46027</v>
      </c>
      <c r="B107" s="18">
        <v>0.20833333333333334</v>
      </c>
      <c r="C107" s="20">
        <v>5.73</v>
      </c>
      <c r="D107" s="20">
        <v>76.59</v>
      </c>
      <c r="E107" s="20">
        <v>1.18</v>
      </c>
      <c r="F107" s="20">
        <v>0.43</v>
      </c>
      <c r="G107" s="20">
        <v>17.48</v>
      </c>
      <c r="H107" s="20">
        <v>14.11</v>
      </c>
      <c r="I107" s="20">
        <v>39.32</v>
      </c>
      <c r="J107" s="20">
        <v>940.69</v>
      </c>
      <c r="K107" s="32">
        <v>1024810.8999999999</v>
      </c>
      <c r="L107" s="3"/>
    </row>
    <row r="108" spans="1:12" x14ac:dyDescent="0.25">
      <c r="A108" s="58">
        <v>46027</v>
      </c>
      <c r="B108" s="18">
        <v>0.25</v>
      </c>
      <c r="C108" s="20">
        <v>3.88</v>
      </c>
      <c r="D108" s="20">
        <v>70.41</v>
      </c>
      <c r="E108" s="20">
        <v>1.1299999999999999</v>
      </c>
      <c r="F108" s="20">
        <v>0.52</v>
      </c>
      <c r="G108" s="20">
        <v>17.489999999999998</v>
      </c>
      <c r="H108" s="20">
        <v>14.09</v>
      </c>
      <c r="I108" s="20">
        <v>38.89</v>
      </c>
      <c r="J108" s="20">
        <v>941.15</v>
      </c>
      <c r="K108" s="32">
        <v>1020381.6000000001</v>
      </c>
      <c r="L108" s="2"/>
    </row>
    <row r="109" spans="1:12" x14ac:dyDescent="0.25">
      <c r="A109" s="58">
        <v>46027</v>
      </c>
      <c r="B109" s="18">
        <v>0.29166666666666669</v>
      </c>
      <c r="C109" s="20">
        <v>3.2</v>
      </c>
      <c r="D109" s="20">
        <v>69.599999999999994</v>
      </c>
      <c r="E109" s="20">
        <v>1.06</v>
      </c>
      <c r="F109" s="20">
        <v>1.0900000000000001</v>
      </c>
      <c r="G109" s="20">
        <v>17.47</v>
      </c>
      <c r="H109" s="20">
        <v>14.07</v>
      </c>
      <c r="I109" s="20">
        <v>38.799999999999997</v>
      </c>
      <c r="J109" s="20">
        <v>941.56</v>
      </c>
      <c r="K109" s="32">
        <v>1006592.3700000001</v>
      </c>
      <c r="L109" s="2"/>
    </row>
    <row r="110" spans="1:12" x14ac:dyDescent="0.25">
      <c r="A110" s="58">
        <v>46027</v>
      </c>
      <c r="B110" s="18">
        <v>0.33333333333333331</v>
      </c>
      <c r="C110" s="20">
        <v>3.93</v>
      </c>
      <c r="D110" s="20">
        <v>72.83</v>
      </c>
      <c r="E110" s="20">
        <v>1.39</v>
      </c>
      <c r="F110" s="20">
        <v>1.1499999999999999</v>
      </c>
      <c r="G110" s="20">
        <v>17.489999999999998</v>
      </c>
      <c r="H110" s="20">
        <v>14.07</v>
      </c>
      <c r="I110" s="20">
        <v>38.619999999999997</v>
      </c>
      <c r="J110" s="20">
        <v>941.5</v>
      </c>
      <c r="K110" s="32">
        <v>1017729.5</v>
      </c>
      <c r="L110" s="2"/>
    </row>
    <row r="111" spans="1:12" x14ac:dyDescent="0.25">
      <c r="A111" s="58">
        <v>46027</v>
      </c>
      <c r="B111" s="18">
        <v>0.375</v>
      </c>
      <c r="C111" s="20">
        <v>6.12</v>
      </c>
      <c r="D111" s="20">
        <v>73.430000000000007</v>
      </c>
      <c r="E111" s="20">
        <v>1.36</v>
      </c>
      <c r="F111" s="20">
        <v>1.46</v>
      </c>
      <c r="G111" s="20">
        <v>17.489999999999998</v>
      </c>
      <c r="H111" s="20">
        <v>14.06</v>
      </c>
      <c r="I111" s="20">
        <v>38.5</v>
      </c>
      <c r="J111" s="20">
        <v>941.79</v>
      </c>
      <c r="K111" s="32">
        <v>1006064.01</v>
      </c>
      <c r="L111" s="2"/>
    </row>
    <row r="112" spans="1:12" x14ac:dyDescent="0.25">
      <c r="A112" s="58">
        <v>46027</v>
      </c>
      <c r="B112" s="18">
        <v>0.41666666666666669</v>
      </c>
      <c r="C112" s="20">
        <v>3.83</v>
      </c>
      <c r="D112" s="20">
        <v>73.489999999999995</v>
      </c>
      <c r="E112" s="20">
        <v>1.58</v>
      </c>
      <c r="F112" s="20">
        <v>0.75</v>
      </c>
      <c r="G112" s="20">
        <v>17.5</v>
      </c>
      <c r="H112" s="20">
        <v>14.05</v>
      </c>
      <c r="I112" s="20">
        <v>38.44</v>
      </c>
      <c r="J112" s="20">
        <v>941.82</v>
      </c>
      <c r="K112" s="32">
        <v>1026461.3700000001</v>
      </c>
      <c r="L112" s="2"/>
    </row>
    <row r="113" spans="1:12" x14ac:dyDescent="0.25">
      <c r="A113" s="58">
        <v>46027</v>
      </c>
      <c r="B113" s="18">
        <v>0.45833333333333331</v>
      </c>
      <c r="C113" s="20">
        <v>3.48</v>
      </c>
      <c r="D113" s="20">
        <v>70.42</v>
      </c>
      <c r="E113" s="20">
        <v>1.68</v>
      </c>
      <c r="F113" s="20">
        <v>1.33</v>
      </c>
      <c r="G113" s="20">
        <v>17.5</v>
      </c>
      <c r="H113" s="20">
        <v>14.05</v>
      </c>
      <c r="I113" s="20">
        <v>38.340000000000003</v>
      </c>
      <c r="J113" s="20">
        <v>941.75</v>
      </c>
      <c r="K113" s="32">
        <v>994806.69</v>
      </c>
      <c r="L113" s="2"/>
    </row>
    <row r="114" spans="1:12" x14ac:dyDescent="0.25">
      <c r="A114" s="58">
        <v>46027</v>
      </c>
      <c r="B114" s="18">
        <v>0.5</v>
      </c>
      <c r="C114" s="20">
        <v>2.65</v>
      </c>
      <c r="D114" s="20">
        <v>70.540000000000006</v>
      </c>
      <c r="E114" s="20">
        <v>1.81</v>
      </c>
      <c r="F114" s="20">
        <v>1.44</v>
      </c>
      <c r="G114" s="20">
        <v>17.47</v>
      </c>
      <c r="H114" s="20">
        <v>14.06</v>
      </c>
      <c r="I114" s="20">
        <v>38.39</v>
      </c>
      <c r="J114" s="20">
        <v>940.97</v>
      </c>
      <c r="K114" s="32">
        <v>986927.31</v>
      </c>
      <c r="L114" s="2"/>
    </row>
    <row r="115" spans="1:12" x14ac:dyDescent="0.25">
      <c r="A115" s="58">
        <v>46027</v>
      </c>
      <c r="B115" s="18">
        <v>0.54166666666666663</v>
      </c>
      <c r="C115" s="20">
        <v>3.24</v>
      </c>
      <c r="D115" s="20">
        <v>68.209999999999994</v>
      </c>
      <c r="E115" s="20">
        <v>1.73</v>
      </c>
      <c r="F115" s="20">
        <v>3.87</v>
      </c>
      <c r="G115" s="20">
        <v>17.48</v>
      </c>
      <c r="H115" s="20">
        <v>14.06</v>
      </c>
      <c r="I115" s="20">
        <v>38.229999999999997</v>
      </c>
      <c r="J115" s="20">
        <v>940.49</v>
      </c>
      <c r="K115" s="32">
        <v>977977.26</v>
      </c>
      <c r="L115" s="2"/>
    </row>
    <row r="116" spans="1:12" x14ac:dyDescent="0.25">
      <c r="A116" s="58">
        <v>46027</v>
      </c>
      <c r="B116" s="18">
        <v>0.58333333333333337</v>
      </c>
      <c r="C116" s="20">
        <v>5.22</v>
      </c>
      <c r="D116" s="20">
        <v>69.84</v>
      </c>
      <c r="E116" s="20">
        <v>1.96</v>
      </c>
      <c r="F116" s="20">
        <v>1.5</v>
      </c>
      <c r="G116" s="20">
        <v>17.47</v>
      </c>
      <c r="H116" s="20">
        <v>14.08</v>
      </c>
      <c r="I116" s="20">
        <v>38.32</v>
      </c>
      <c r="J116" s="20">
        <v>939.85</v>
      </c>
      <c r="K116" s="32">
        <v>995288.04</v>
      </c>
      <c r="L116" s="2"/>
    </row>
    <row r="117" spans="1:12" x14ac:dyDescent="0.25">
      <c r="A117" s="58">
        <v>46027</v>
      </c>
      <c r="B117" s="18">
        <v>0.625</v>
      </c>
      <c r="C117" s="20">
        <v>4.53</v>
      </c>
      <c r="D117" s="20">
        <v>68.900000000000006</v>
      </c>
      <c r="E117" s="20">
        <v>2.62</v>
      </c>
      <c r="F117" s="20">
        <v>1.69</v>
      </c>
      <c r="G117" s="20">
        <v>17.489999999999998</v>
      </c>
      <c r="H117" s="20">
        <v>14.07</v>
      </c>
      <c r="I117" s="20">
        <v>38.19</v>
      </c>
      <c r="J117" s="20">
        <v>939.93</v>
      </c>
      <c r="K117" s="32">
        <v>979256.64999999991</v>
      </c>
      <c r="L117" s="2"/>
    </row>
    <row r="118" spans="1:12" x14ac:dyDescent="0.25">
      <c r="A118" s="58">
        <v>46027</v>
      </c>
      <c r="B118" s="18">
        <v>0.66666666666666663</v>
      </c>
      <c r="C118" s="20">
        <v>3.48</v>
      </c>
      <c r="D118" s="20">
        <v>69.14</v>
      </c>
      <c r="E118" s="20">
        <v>1.96</v>
      </c>
      <c r="F118" s="20">
        <v>1.29</v>
      </c>
      <c r="G118" s="20">
        <v>17.48</v>
      </c>
      <c r="H118" s="20">
        <v>14.07</v>
      </c>
      <c r="I118" s="20">
        <v>38.11</v>
      </c>
      <c r="J118" s="20">
        <v>939.72</v>
      </c>
      <c r="K118" s="32">
        <v>980429.33000000007</v>
      </c>
      <c r="L118" s="2"/>
    </row>
    <row r="119" spans="1:12" x14ac:dyDescent="0.25">
      <c r="A119" s="58">
        <v>46027</v>
      </c>
      <c r="B119" s="18">
        <v>0.70833333333333337</v>
      </c>
      <c r="C119" s="20">
        <v>5</v>
      </c>
      <c r="D119" s="20">
        <v>68.989999999999995</v>
      </c>
      <c r="E119" s="20">
        <v>2.17</v>
      </c>
      <c r="F119" s="20">
        <v>1.78</v>
      </c>
      <c r="G119" s="20">
        <v>17.489999999999998</v>
      </c>
      <c r="H119" s="20">
        <v>14.07</v>
      </c>
      <c r="I119" s="20">
        <v>38.07</v>
      </c>
      <c r="J119" s="20">
        <v>939.51</v>
      </c>
      <c r="K119" s="32">
        <v>961786.51</v>
      </c>
      <c r="L119" s="2"/>
    </row>
    <row r="120" spans="1:12" x14ac:dyDescent="0.25">
      <c r="A120" s="58">
        <v>46027</v>
      </c>
      <c r="B120" s="18">
        <v>0.75</v>
      </c>
      <c r="C120" s="20">
        <v>4.84</v>
      </c>
      <c r="D120" s="20">
        <v>70.31</v>
      </c>
      <c r="E120" s="20">
        <v>3.04</v>
      </c>
      <c r="F120" s="20">
        <v>1.38</v>
      </c>
      <c r="G120" s="20">
        <v>17.5</v>
      </c>
      <c r="H120" s="20">
        <v>14.06</v>
      </c>
      <c r="I120" s="20">
        <v>37.92</v>
      </c>
      <c r="J120" s="20">
        <v>939.53</v>
      </c>
      <c r="K120" s="32">
        <v>939854.17999999993</v>
      </c>
      <c r="L120" s="2"/>
    </row>
    <row r="121" spans="1:12" x14ac:dyDescent="0.25">
      <c r="A121" s="58">
        <v>46027</v>
      </c>
      <c r="B121" s="18">
        <v>0.79166666666666663</v>
      </c>
      <c r="C121" s="20">
        <v>3.84</v>
      </c>
      <c r="D121" s="20">
        <v>70.92</v>
      </c>
      <c r="E121" s="20">
        <v>3.08</v>
      </c>
      <c r="F121" s="20">
        <v>1.19</v>
      </c>
      <c r="G121" s="20">
        <v>17.489999999999998</v>
      </c>
      <c r="H121" s="20">
        <v>14.08</v>
      </c>
      <c r="I121" s="20">
        <v>38.049999999999997</v>
      </c>
      <c r="J121" s="20">
        <v>939.09</v>
      </c>
      <c r="K121" s="32">
        <v>935107.19</v>
      </c>
      <c r="L121" s="2"/>
    </row>
    <row r="122" spans="1:12" x14ac:dyDescent="0.25">
      <c r="A122" s="58">
        <v>46027</v>
      </c>
      <c r="B122" s="18">
        <v>0.83333333333333337</v>
      </c>
      <c r="C122" s="20">
        <v>4.6500000000000004</v>
      </c>
      <c r="D122" s="20">
        <v>70.400000000000006</v>
      </c>
      <c r="E122" s="20">
        <v>2.52</v>
      </c>
      <c r="F122" s="20">
        <v>1.76</v>
      </c>
      <c r="G122" s="20">
        <v>17.5</v>
      </c>
      <c r="H122" s="20">
        <v>14.08</v>
      </c>
      <c r="I122" s="20">
        <v>38.08</v>
      </c>
      <c r="J122" s="20">
        <v>938.83</v>
      </c>
      <c r="K122" s="32">
        <v>926629.62999999989</v>
      </c>
      <c r="L122" s="2"/>
    </row>
    <row r="123" spans="1:12" x14ac:dyDescent="0.25">
      <c r="A123" s="58">
        <v>46027</v>
      </c>
      <c r="B123" s="18">
        <v>0.875</v>
      </c>
      <c r="C123" s="20">
        <v>4.33</v>
      </c>
      <c r="D123" s="20">
        <v>70.180000000000007</v>
      </c>
      <c r="E123" s="20">
        <v>2.76</v>
      </c>
      <c r="F123" s="20">
        <v>1.17</v>
      </c>
      <c r="G123" s="20">
        <v>17.489999999999998</v>
      </c>
      <c r="H123" s="20">
        <v>14.09</v>
      </c>
      <c r="I123" s="20">
        <v>38.18</v>
      </c>
      <c r="J123" s="20">
        <v>938.37</v>
      </c>
      <c r="K123" s="32">
        <v>925389.59000000008</v>
      </c>
      <c r="L123" s="2"/>
    </row>
    <row r="124" spans="1:12" x14ac:dyDescent="0.25">
      <c r="A124" s="58">
        <v>46027</v>
      </c>
      <c r="B124" s="18">
        <v>0.91666666666666663</v>
      </c>
      <c r="C124" s="20">
        <v>3.51</v>
      </c>
      <c r="D124" s="20">
        <v>69.28</v>
      </c>
      <c r="E124" s="20">
        <v>2.64</v>
      </c>
      <c r="F124" s="20">
        <v>1.48</v>
      </c>
      <c r="G124" s="20">
        <v>17.489999999999998</v>
      </c>
      <c r="H124" s="20">
        <v>14.1</v>
      </c>
      <c r="I124" s="20">
        <v>38.19</v>
      </c>
      <c r="J124" s="20">
        <v>938.14</v>
      </c>
      <c r="K124" s="32">
        <v>915016.79</v>
      </c>
      <c r="L124" s="2"/>
    </row>
    <row r="125" spans="1:12" ht="15.75" thickBot="1" x14ac:dyDescent="0.3">
      <c r="A125" s="60">
        <v>46027</v>
      </c>
      <c r="B125" s="35">
        <v>0.95833333333333337</v>
      </c>
      <c r="C125" s="24">
        <v>2.79</v>
      </c>
      <c r="D125" s="24">
        <v>69.3</v>
      </c>
      <c r="E125" s="24">
        <v>2.65</v>
      </c>
      <c r="F125" s="24">
        <v>2.2799999999999998</v>
      </c>
      <c r="G125" s="24">
        <v>17.489999999999998</v>
      </c>
      <c r="H125" s="24">
        <v>14.12</v>
      </c>
      <c r="I125" s="24">
        <v>38.46</v>
      </c>
      <c r="J125" s="24">
        <v>937.53</v>
      </c>
      <c r="K125" s="36">
        <v>916257.6399999999</v>
      </c>
      <c r="L125" s="2"/>
    </row>
    <row r="126" spans="1:12" ht="15.75" thickBot="1" x14ac:dyDescent="0.3">
      <c r="A126" s="26" t="s">
        <v>16</v>
      </c>
      <c r="B126" s="44"/>
      <c r="C126" s="45">
        <f t="shared" ref="C126:K126" si="4">IFERROR(ROUND(AVERAGE(C102:C125), 2), "")</f>
        <v>4.1100000000000003</v>
      </c>
      <c r="D126" s="45">
        <f t="shared" si="4"/>
        <v>71.36</v>
      </c>
      <c r="E126" s="45">
        <f t="shared" si="4"/>
        <v>2.0299999999999998</v>
      </c>
      <c r="F126" s="45">
        <f t="shared" si="4"/>
        <v>1.3</v>
      </c>
      <c r="G126" s="45">
        <f t="shared" si="4"/>
        <v>17.489999999999998</v>
      </c>
      <c r="H126" s="45">
        <f t="shared" si="4"/>
        <v>14.09</v>
      </c>
      <c r="I126" s="45">
        <f t="shared" si="4"/>
        <v>38.700000000000003</v>
      </c>
      <c r="J126" s="45">
        <f t="shared" si="4"/>
        <v>940.27</v>
      </c>
      <c r="K126" s="46">
        <f t="shared" si="4"/>
        <v>970470.21</v>
      </c>
      <c r="L126" s="7"/>
    </row>
    <row r="127" spans="1:12" x14ac:dyDescent="0.25">
      <c r="A127" s="57">
        <v>46028</v>
      </c>
      <c r="B127" s="14">
        <v>0</v>
      </c>
      <c r="C127" s="16">
        <v>4.21</v>
      </c>
      <c r="D127" s="16">
        <v>69.86</v>
      </c>
      <c r="E127" s="16">
        <v>2.86</v>
      </c>
      <c r="F127" s="16">
        <v>2.9</v>
      </c>
      <c r="G127" s="16">
        <v>17.489999999999998</v>
      </c>
      <c r="H127" s="16">
        <v>14.12</v>
      </c>
      <c r="I127" s="16">
        <v>38.32</v>
      </c>
      <c r="J127" s="16">
        <v>937.33</v>
      </c>
      <c r="K127" s="31">
        <v>912539.26</v>
      </c>
      <c r="L127" s="2"/>
    </row>
    <row r="128" spans="1:12" x14ac:dyDescent="0.25">
      <c r="A128" s="58">
        <v>46028</v>
      </c>
      <c r="B128" s="18">
        <v>4.1666666666666664E-2</v>
      </c>
      <c r="C128" s="20">
        <v>5.05</v>
      </c>
      <c r="D128" s="20">
        <v>68.69</v>
      </c>
      <c r="E128" s="20">
        <v>2.38</v>
      </c>
      <c r="F128" s="20">
        <v>2.96</v>
      </c>
      <c r="G128" s="20">
        <v>17.5</v>
      </c>
      <c r="H128" s="20">
        <v>14.12</v>
      </c>
      <c r="I128" s="20">
        <v>38.299999999999997</v>
      </c>
      <c r="J128" s="20">
        <v>937.04</v>
      </c>
      <c r="K128" s="32">
        <v>898244.26</v>
      </c>
      <c r="L128" s="2"/>
    </row>
    <row r="129" spans="1:12" x14ac:dyDescent="0.25">
      <c r="A129" s="58">
        <v>46028</v>
      </c>
      <c r="B129" s="18">
        <v>8.3333333333333329E-2</v>
      </c>
      <c r="C129" s="20">
        <v>4.83</v>
      </c>
      <c r="D129" s="20">
        <v>68.56</v>
      </c>
      <c r="E129" s="20">
        <v>2.44</v>
      </c>
      <c r="F129" s="20">
        <v>2.0099999999999998</v>
      </c>
      <c r="G129" s="20">
        <v>17.52</v>
      </c>
      <c r="H129" s="20">
        <v>14.13</v>
      </c>
      <c r="I129" s="20">
        <v>38.35</v>
      </c>
      <c r="J129" s="20">
        <v>936.64</v>
      </c>
      <c r="K129" s="32">
        <v>904743.01</v>
      </c>
      <c r="L129" s="2"/>
    </row>
    <row r="130" spans="1:12" x14ac:dyDescent="0.25">
      <c r="A130" s="58">
        <v>46028</v>
      </c>
      <c r="B130" s="18">
        <v>0.125</v>
      </c>
      <c r="C130" s="20">
        <v>5</v>
      </c>
      <c r="D130" s="20">
        <v>68.27</v>
      </c>
      <c r="E130" s="20">
        <v>2.27</v>
      </c>
      <c r="F130" s="20">
        <v>1.21</v>
      </c>
      <c r="G130" s="20">
        <v>17.52</v>
      </c>
      <c r="H130" s="20">
        <v>14.13</v>
      </c>
      <c r="I130" s="20">
        <v>38.24</v>
      </c>
      <c r="J130" s="20">
        <v>936.35</v>
      </c>
      <c r="K130" s="32">
        <v>895772.1399999999</v>
      </c>
      <c r="L130" s="2"/>
    </row>
    <row r="131" spans="1:12" x14ac:dyDescent="0.25">
      <c r="A131" s="58">
        <v>46028</v>
      </c>
      <c r="B131" s="18">
        <v>0.16666666666666666</v>
      </c>
      <c r="C131" s="20">
        <v>3.89</v>
      </c>
      <c r="D131" s="20">
        <v>68</v>
      </c>
      <c r="E131" s="20">
        <v>2.83</v>
      </c>
      <c r="F131" s="20">
        <v>1.25</v>
      </c>
      <c r="G131" s="20">
        <v>17.52</v>
      </c>
      <c r="H131" s="20">
        <v>14.13</v>
      </c>
      <c r="I131" s="20">
        <v>38.28</v>
      </c>
      <c r="J131" s="20">
        <v>935.96</v>
      </c>
      <c r="K131" s="32">
        <v>896369.52</v>
      </c>
      <c r="L131" s="2"/>
    </row>
    <row r="132" spans="1:12" x14ac:dyDescent="0.25">
      <c r="A132" s="58">
        <v>46028</v>
      </c>
      <c r="B132" s="18">
        <v>0.20833333333333334</v>
      </c>
      <c r="C132" s="20">
        <v>2.37</v>
      </c>
      <c r="D132" s="20">
        <v>67.64</v>
      </c>
      <c r="E132" s="20">
        <v>3.01</v>
      </c>
      <c r="F132" s="20">
        <v>0.71</v>
      </c>
      <c r="G132" s="20">
        <v>17.53</v>
      </c>
      <c r="H132" s="20">
        <v>14.14</v>
      </c>
      <c r="I132" s="20">
        <v>38.28</v>
      </c>
      <c r="J132" s="20">
        <v>935.77</v>
      </c>
      <c r="K132" s="32">
        <v>893574.05</v>
      </c>
      <c r="L132" s="2"/>
    </row>
    <row r="133" spans="1:12" x14ac:dyDescent="0.25">
      <c r="A133" s="58">
        <v>46028</v>
      </c>
      <c r="B133" s="18">
        <v>0.25</v>
      </c>
      <c r="C133" s="20">
        <v>3.69</v>
      </c>
      <c r="D133" s="20">
        <v>67.260000000000005</v>
      </c>
      <c r="E133" s="20">
        <v>2.77</v>
      </c>
      <c r="F133" s="20">
        <v>2.2400000000000002</v>
      </c>
      <c r="G133" s="20">
        <v>17.489999999999998</v>
      </c>
      <c r="H133" s="20">
        <v>14.13</v>
      </c>
      <c r="I133" s="20">
        <v>38.17</v>
      </c>
      <c r="J133" s="20">
        <v>935.94</v>
      </c>
      <c r="K133" s="32">
        <v>868173.53</v>
      </c>
      <c r="L133" s="2"/>
    </row>
    <row r="134" spans="1:12" x14ac:dyDescent="0.25">
      <c r="A134" s="58">
        <v>46028</v>
      </c>
      <c r="B134" s="18">
        <v>0.29166666666666669</v>
      </c>
      <c r="C134" s="20">
        <v>5.23</v>
      </c>
      <c r="D134" s="20">
        <v>66.52</v>
      </c>
      <c r="E134" s="20">
        <v>3.2</v>
      </c>
      <c r="F134" s="20">
        <v>2.86</v>
      </c>
      <c r="G134" s="20">
        <v>17.489999999999998</v>
      </c>
      <c r="H134" s="20">
        <v>14.12</v>
      </c>
      <c r="I134" s="20">
        <v>38.01</v>
      </c>
      <c r="J134" s="20">
        <v>936.1</v>
      </c>
      <c r="K134" s="32">
        <v>864629.1100000001</v>
      </c>
      <c r="L134" s="2"/>
    </row>
    <row r="135" spans="1:12" x14ac:dyDescent="0.25">
      <c r="A135" s="58">
        <v>46028</v>
      </c>
      <c r="B135" s="18">
        <v>0.33333333333333331</v>
      </c>
      <c r="C135" s="20">
        <v>5.84</v>
      </c>
      <c r="D135" s="20">
        <v>66.62</v>
      </c>
      <c r="E135" s="20">
        <v>3.26</v>
      </c>
      <c r="F135" s="20">
        <v>2.12</v>
      </c>
      <c r="G135" s="20">
        <v>17.489999999999998</v>
      </c>
      <c r="H135" s="20">
        <v>14.12</v>
      </c>
      <c r="I135" s="20">
        <v>38.11</v>
      </c>
      <c r="J135" s="20">
        <v>936.26</v>
      </c>
      <c r="K135" s="32">
        <v>862751.3</v>
      </c>
      <c r="L135" s="2"/>
    </row>
    <row r="136" spans="1:12" x14ac:dyDescent="0.25">
      <c r="A136" s="58">
        <v>46028</v>
      </c>
      <c r="B136" s="18">
        <v>0.375</v>
      </c>
      <c r="C136" s="20">
        <v>4.08</v>
      </c>
      <c r="D136" s="20">
        <v>67.39</v>
      </c>
      <c r="E136" s="20">
        <v>2.77</v>
      </c>
      <c r="F136" s="20">
        <v>2.35</v>
      </c>
      <c r="G136" s="20">
        <v>17.48</v>
      </c>
      <c r="H136" s="20">
        <v>14.14</v>
      </c>
      <c r="I136" s="20">
        <v>38.54</v>
      </c>
      <c r="J136" s="20">
        <v>936.29</v>
      </c>
      <c r="K136" s="32">
        <v>877303.6399999999</v>
      </c>
      <c r="L136" s="2"/>
    </row>
    <row r="137" spans="1:12" x14ac:dyDescent="0.25">
      <c r="A137" s="58">
        <v>46028</v>
      </c>
      <c r="B137" s="18">
        <v>0.41666666666666669</v>
      </c>
      <c r="C137" s="20">
        <v>4.99</v>
      </c>
      <c r="D137" s="20">
        <v>69.75</v>
      </c>
      <c r="E137" s="20">
        <v>3.04</v>
      </c>
      <c r="F137" s="20">
        <v>1.82</v>
      </c>
      <c r="G137" s="20">
        <v>17.440000000000001</v>
      </c>
      <c r="H137" s="20">
        <v>14.19</v>
      </c>
      <c r="I137" s="20">
        <v>39.61</v>
      </c>
      <c r="J137" s="20">
        <v>936.53</v>
      </c>
      <c r="K137" s="32">
        <v>903759.92999999993</v>
      </c>
      <c r="L137" s="2"/>
    </row>
    <row r="138" spans="1:12" x14ac:dyDescent="0.25">
      <c r="A138" s="58">
        <v>46028</v>
      </c>
      <c r="B138" s="18">
        <v>0.45833333333333331</v>
      </c>
      <c r="C138" s="20">
        <v>3.78</v>
      </c>
      <c r="D138" s="20">
        <v>72.89</v>
      </c>
      <c r="E138" s="20">
        <v>2.5</v>
      </c>
      <c r="F138" s="20">
        <v>1.65</v>
      </c>
      <c r="G138" s="20">
        <v>17.45</v>
      </c>
      <c r="H138" s="20">
        <v>14.22</v>
      </c>
      <c r="I138" s="20">
        <v>40.29</v>
      </c>
      <c r="J138" s="20">
        <v>936.08</v>
      </c>
      <c r="K138" s="32">
        <v>899768.6399999999</v>
      </c>
      <c r="L138" s="2"/>
    </row>
    <row r="139" spans="1:12" x14ac:dyDescent="0.25">
      <c r="A139" s="58">
        <v>46028</v>
      </c>
      <c r="B139" s="18">
        <v>0.5</v>
      </c>
      <c r="C139" s="20">
        <v>5.21</v>
      </c>
      <c r="D139" s="20">
        <v>72.63</v>
      </c>
      <c r="E139" s="20">
        <v>2.27</v>
      </c>
      <c r="F139" s="20">
        <v>1.42</v>
      </c>
      <c r="G139" s="20">
        <v>17.440000000000001</v>
      </c>
      <c r="H139" s="20">
        <v>14.26</v>
      </c>
      <c r="I139" s="20">
        <v>40.86</v>
      </c>
      <c r="J139" s="20">
        <v>935.65</v>
      </c>
      <c r="K139" s="32">
        <v>896131.69</v>
      </c>
      <c r="L139" s="2"/>
    </row>
    <row r="140" spans="1:12" x14ac:dyDescent="0.25">
      <c r="A140" s="58">
        <v>46028</v>
      </c>
      <c r="B140" s="18">
        <v>0.54166666666666663</v>
      </c>
      <c r="C140" s="20">
        <v>2.11</v>
      </c>
      <c r="D140" s="20">
        <v>72.89</v>
      </c>
      <c r="E140" s="20">
        <v>2.2000000000000002</v>
      </c>
      <c r="F140" s="20">
        <v>1.1399999999999999</v>
      </c>
      <c r="G140" s="20">
        <v>17.45</v>
      </c>
      <c r="H140" s="20">
        <v>14.27</v>
      </c>
      <c r="I140" s="20">
        <v>41.04</v>
      </c>
      <c r="J140" s="20">
        <v>935.21</v>
      </c>
      <c r="K140" s="32">
        <v>890068.76</v>
      </c>
      <c r="L140" s="2"/>
    </row>
    <row r="141" spans="1:12" x14ac:dyDescent="0.25">
      <c r="A141" s="58">
        <v>46028</v>
      </c>
      <c r="B141" s="18">
        <v>0.58333333333333337</v>
      </c>
      <c r="C141" s="20">
        <v>3.48</v>
      </c>
      <c r="D141" s="20">
        <v>70.25</v>
      </c>
      <c r="E141" s="20">
        <v>2.97</v>
      </c>
      <c r="F141" s="20">
        <v>4.75</v>
      </c>
      <c r="G141" s="20">
        <v>17.43</v>
      </c>
      <c r="H141" s="20">
        <v>14.28</v>
      </c>
      <c r="I141" s="20">
        <v>41.22</v>
      </c>
      <c r="J141" s="20">
        <v>935.21</v>
      </c>
      <c r="K141" s="32">
        <v>903686.33000000007</v>
      </c>
      <c r="L141" s="2"/>
    </row>
    <row r="142" spans="1:12" x14ac:dyDescent="0.25">
      <c r="A142" s="58">
        <v>46028</v>
      </c>
      <c r="B142" s="18">
        <v>0.625</v>
      </c>
      <c r="C142" s="20">
        <v>4.16</v>
      </c>
      <c r="D142" s="20">
        <v>71.8</v>
      </c>
      <c r="E142" s="20">
        <v>2.59</v>
      </c>
      <c r="F142" s="20">
        <v>9</v>
      </c>
      <c r="G142" s="20">
        <v>17.309999999999999</v>
      </c>
      <c r="H142" s="20">
        <v>14.33</v>
      </c>
      <c r="I142" s="20">
        <v>42.2</v>
      </c>
      <c r="J142" s="20">
        <v>935.17</v>
      </c>
      <c r="K142" s="32">
        <v>946837.73</v>
      </c>
      <c r="L142" s="2"/>
    </row>
    <row r="143" spans="1:12" x14ac:dyDescent="0.25">
      <c r="A143" s="58">
        <v>46028</v>
      </c>
      <c r="B143" s="18">
        <v>0.66666666666666663</v>
      </c>
      <c r="C143" s="20">
        <v>6.01</v>
      </c>
      <c r="D143" s="20">
        <v>75.31</v>
      </c>
      <c r="E143" s="20">
        <v>2.65</v>
      </c>
      <c r="F143" s="20">
        <v>5.71</v>
      </c>
      <c r="G143" s="20">
        <v>17.28</v>
      </c>
      <c r="H143" s="20">
        <v>14.36</v>
      </c>
      <c r="I143" s="20">
        <v>42.91</v>
      </c>
      <c r="J143" s="20">
        <v>935.2</v>
      </c>
      <c r="K143" s="32">
        <v>933506.08000000007</v>
      </c>
      <c r="L143" s="2"/>
    </row>
    <row r="144" spans="1:12" x14ac:dyDescent="0.25">
      <c r="A144" s="58">
        <v>46028</v>
      </c>
      <c r="B144" s="18">
        <v>0.70833333333333337</v>
      </c>
      <c r="C144" s="20">
        <v>3.33</v>
      </c>
      <c r="D144" s="20">
        <v>74.790000000000006</v>
      </c>
      <c r="E144" s="20">
        <v>2.73</v>
      </c>
      <c r="F144" s="20">
        <v>0.7</v>
      </c>
      <c r="G144" s="20">
        <v>17.399999999999999</v>
      </c>
      <c r="H144" s="20">
        <v>14.32</v>
      </c>
      <c r="I144" s="20">
        <v>42.06</v>
      </c>
      <c r="J144" s="20">
        <v>935.21</v>
      </c>
      <c r="K144" s="32">
        <v>918948.56</v>
      </c>
      <c r="L144" s="2"/>
    </row>
    <row r="145" spans="1:12" x14ac:dyDescent="0.25">
      <c r="A145" s="58">
        <v>46028</v>
      </c>
      <c r="B145" s="18">
        <v>0.75</v>
      </c>
      <c r="C145" s="20">
        <v>5.04</v>
      </c>
      <c r="D145" s="20">
        <v>76.180000000000007</v>
      </c>
      <c r="E145" s="20">
        <v>2.94</v>
      </c>
      <c r="F145" s="20">
        <v>0.48</v>
      </c>
      <c r="G145" s="20">
        <v>17.420000000000002</v>
      </c>
      <c r="H145" s="20">
        <v>14.31</v>
      </c>
      <c r="I145" s="20">
        <v>41.92</v>
      </c>
      <c r="J145" s="20">
        <v>935.16</v>
      </c>
      <c r="K145" s="32">
        <v>914669.97</v>
      </c>
      <c r="L145" s="2"/>
    </row>
    <row r="146" spans="1:12" x14ac:dyDescent="0.25">
      <c r="A146" s="58">
        <v>46028</v>
      </c>
      <c r="B146" s="18">
        <v>0.79166666666666663</v>
      </c>
      <c r="C146" s="20">
        <v>4.4400000000000004</v>
      </c>
      <c r="D146" s="20">
        <v>76.64</v>
      </c>
      <c r="E146" s="20">
        <v>2.89</v>
      </c>
      <c r="F146" s="20">
        <v>0.75</v>
      </c>
      <c r="G146" s="20">
        <v>17.43</v>
      </c>
      <c r="H146" s="20">
        <v>14.31</v>
      </c>
      <c r="I146" s="20">
        <v>41.95</v>
      </c>
      <c r="J146" s="20">
        <v>935.33</v>
      </c>
      <c r="K146" s="32">
        <v>914288.33000000007</v>
      </c>
      <c r="L146" s="2"/>
    </row>
    <row r="147" spans="1:12" x14ac:dyDescent="0.25">
      <c r="A147" s="58">
        <v>46028</v>
      </c>
      <c r="B147" s="18">
        <v>0.83333333333333337</v>
      </c>
      <c r="C147" s="20">
        <v>4.38</v>
      </c>
      <c r="D147" s="20">
        <v>76.28</v>
      </c>
      <c r="E147" s="20">
        <v>3.31</v>
      </c>
      <c r="F147" s="20">
        <v>0.72</v>
      </c>
      <c r="G147" s="20">
        <v>17.43</v>
      </c>
      <c r="H147" s="20">
        <v>14.31</v>
      </c>
      <c r="I147" s="20">
        <v>41.94</v>
      </c>
      <c r="J147" s="20">
        <v>935.39</v>
      </c>
      <c r="K147" s="32">
        <v>916757.27</v>
      </c>
      <c r="L147" s="2"/>
    </row>
    <row r="148" spans="1:12" x14ac:dyDescent="0.25">
      <c r="A148" s="58">
        <v>46028</v>
      </c>
      <c r="B148" s="18">
        <v>0.875</v>
      </c>
      <c r="C148" s="20">
        <v>3.73</v>
      </c>
      <c r="D148" s="20">
        <v>76.62</v>
      </c>
      <c r="E148" s="20">
        <v>2.71</v>
      </c>
      <c r="F148" s="20">
        <v>0.36</v>
      </c>
      <c r="G148" s="20">
        <v>17.41</v>
      </c>
      <c r="H148" s="20">
        <v>14.31</v>
      </c>
      <c r="I148" s="20">
        <v>41.94</v>
      </c>
      <c r="J148" s="20">
        <v>935.14</v>
      </c>
      <c r="K148" s="32">
        <v>919391.3600000001</v>
      </c>
      <c r="L148" s="2"/>
    </row>
    <row r="149" spans="1:12" x14ac:dyDescent="0.25">
      <c r="A149" s="58">
        <v>46028</v>
      </c>
      <c r="B149" s="18">
        <v>0.91666666666666663</v>
      </c>
      <c r="C149" s="20">
        <v>3.25</v>
      </c>
      <c r="D149" s="20">
        <v>76.25</v>
      </c>
      <c r="E149" s="20">
        <v>2.25</v>
      </c>
      <c r="F149" s="20">
        <v>0.99</v>
      </c>
      <c r="G149" s="20">
        <v>17.41</v>
      </c>
      <c r="H149" s="20">
        <v>14.32</v>
      </c>
      <c r="I149" s="20">
        <v>42.06</v>
      </c>
      <c r="J149" s="20">
        <v>934.99</v>
      </c>
      <c r="K149" s="32">
        <v>913507.35000000009</v>
      </c>
      <c r="L149" s="2"/>
    </row>
    <row r="150" spans="1:12" ht="15.75" thickBot="1" x14ac:dyDescent="0.3">
      <c r="A150" s="59">
        <v>46028</v>
      </c>
      <c r="B150" s="22">
        <v>0.95833333333333337</v>
      </c>
      <c r="C150" s="33">
        <v>3.46</v>
      </c>
      <c r="D150" s="33">
        <v>76.760000000000005</v>
      </c>
      <c r="E150" s="33">
        <v>2.2599999999999998</v>
      </c>
      <c r="F150" s="33">
        <v>0.75</v>
      </c>
      <c r="G150" s="33">
        <v>17.420000000000002</v>
      </c>
      <c r="H150" s="33">
        <v>14.32</v>
      </c>
      <c r="I150" s="33">
        <v>42.13</v>
      </c>
      <c r="J150" s="33">
        <v>935.04</v>
      </c>
      <c r="K150" s="34">
        <v>918632.22</v>
      </c>
      <c r="L150" s="2"/>
    </row>
    <row r="151" spans="1:12" ht="15.75" thickBot="1" x14ac:dyDescent="0.3">
      <c r="A151" s="26" t="s">
        <v>17</v>
      </c>
      <c r="B151" s="44"/>
      <c r="C151" s="45">
        <f t="shared" ref="C151:K151" si="5">IFERROR(ROUND(AVERAGE(C127:C150), 2), "")</f>
        <v>4.2300000000000004</v>
      </c>
      <c r="D151" s="45">
        <f t="shared" si="5"/>
        <v>71.58</v>
      </c>
      <c r="E151" s="45">
        <f t="shared" si="5"/>
        <v>2.71</v>
      </c>
      <c r="F151" s="45">
        <f t="shared" si="5"/>
        <v>2.12</v>
      </c>
      <c r="G151" s="45">
        <f t="shared" si="5"/>
        <v>17.45</v>
      </c>
      <c r="H151" s="45">
        <f t="shared" si="5"/>
        <v>14.22</v>
      </c>
      <c r="I151" s="45">
        <f t="shared" si="5"/>
        <v>40.200000000000003</v>
      </c>
      <c r="J151" s="45">
        <f t="shared" si="5"/>
        <v>935.79</v>
      </c>
      <c r="K151" s="46">
        <f t="shared" si="5"/>
        <v>902668.92</v>
      </c>
      <c r="L151" s="7"/>
    </row>
    <row r="152" spans="1:12" x14ac:dyDescent="0.25">
      <c r="A152" s="57">
        <v>46029</v>
      </c>
      <c r="B152" s="14">
        <v>0</v>
      </c>
      <c r="C152" s="16">
        <v>3.8</v>
      </c>
      <c r="D152" s="16">
        <v>76.05</v>
      </c>
      <c r="E152" s="16">
        <v>2.52</v>
      </c>
      <c r="F152" s="16">
        <v>1.68</v>
      </c>
      <c r="G152" s="16">
        <v>17.45</v>
      </c>
      <c r="H152" s="16">
        <v>14.34</v>
      </c>
      <c r="I152" s="16">
        <v>42.25</v>
      </c>
      <c r="J152" s="16">
        <v>934.78</v>
      </c>
      <c r="K152" s="31">
        <v>927732.23</v>
      </c>
      <c r="L152" s="2"/>
    </row>
    <row r="153" spans="1:12" x14ac:dyDescent="0.25">
      <c r="A153" s="58">
        <v>46029</v>
      </c>
      <c r="B153" s="18">
        <v>4.1666666666666664E-2</v>
      </c>
      <c r="C153" s="20">
        <v>3.69</v>
      </c>
      <c r="D153" s="20">
        <v>75.099999999999994</v>
      </c>
      <c r="E153" s="20">
        <v>2.6</v>
      </c>
      <c r="F153" s="20">
        <v>0.88</v>
      </c>
      <c r="G153" s="20">
        <v>17.5</v>
      </c>
      <c r="H153" s="20">
        <v>14.31</v>
      </c>
      <c r="I153" s="20">
        <v>41.5</v>
      </c>
      <c r="J153" s="20">
        <v>934.43</v>
      </c>
      <c r="K153" s="32">
        <v>904987.03</v>
      </c>
      <c r="L153" s="2"/>
    </row>
    <row r="154" spans="1:12" x14ac:dyDescent="0.25">
      <c r="A154" s="58">
        <v>46029</v>
      </c>
      <c r="B154" s="18">
        <v>8.3333333333333329E-2</v>
      </c>
      <c r="C154" s="20">
        <v>6.15</v>
      </c>
      <c r="D154" s="20">
        <v>74.34</v>
      </c>
      <c r="E154" s="20">
        <v>3.01</v>
      </c>
      <c r="F154" s="20">
        <v>0.31</v>
      </c>
      <c r="G154" s="20">
        <v>17.52</v>
      </c>
      <c r="H154" s="20">
        <v>14.28</v>
      </c>
      <c r="I154" s="20">
        <v>41.01</v>
      </c>
      <c r="J154" s="20">
        <v>934.49</v>
      </c>
      <c r="K154" s="32">
        <v>915130.59000000008</v>
      </c>
      <c r="L154" s="2"/>
    </row>
    <row r="155" spans="1:12" x14ac:dyDescent="0.25">
      <c r="A155" s="58">
        <v>46029</v>
      </c>
      <c r="B155" s="18">
        <v>0.125</v>
      </c>
      <c r="C155" s="20">
        <v>4.3</v>
      </c>
      <c r="D155" s="20">
        <v>74.239999999999995</v>
      </c>
      <c r="E155" s="20">
        <v>3.33</v>
      </c>
      <c r="F155" s="20">
        <v>0.31</v>
      </c>
      <c r="G155" s="20">
        <v>17.5</v>
      </c>
      <c r="H155" s="20">
        <v>14.28</v>
      </c>
      <c r="I155" s="20">
        <v>40.82</v>
      </c>
      <c r="J155" s="20">
        <v>934.11</v>
      </c>
      <c r="K155" s="32">
        <v>926085.1399999999</v>
      </c>
      <c r="L155" s="2"/>
    </row>
    <row r="156" spans="1:12" x14ac:dyDescent="0.25">
      <c r="A156" s="58">
        <v>46029</v>
      </c>
      <c r="B156" s="18">
        <v>0.16666666666666666</v>
      </c>
      <c r="C156" s="20">
        <v>4.12</v>
      </c>
      <c r="D156" s="20">
        <v>74.010000000000005</v>
      </c>
      <c r="E156" s="20">
        <v>2.99</v>
      </c>
      <c r="F156" s="20">
        <v>0.1</v>
      </c>
      <c r="G156" s="20">
        <v>17.52</v>
      </c>
      <c r="H156" s="20">
        <v>14.27</v>
      </c>
      <c r="I156" s="20">
        <v>40.43</v>
      </c>
      <c r="J156" s="20">
        <v>933.79</v>
      </c>
      <c r="K156" s="32">
        <v>908860.25</v>
      </c>
      <c r="L156" s="2"/>
    </row>
    <row r="157" spans="1:12" x14ac:dyDescent="0.25">
      <c r="A157" s="58">
        <v>46029</v>
      </c>
      <c r="B157" s="18">
        <v>0.20833333333333334</v>
      </c>
      <c r="C157" s="20">
        <v>4.62</v>
      </c>
      <c r="D157" s="20">
        <v>73.22</v>
      </c>
      <c r="E157" s="20">
        <v>2.81</v>
      </c>
      <c r="F157" s="20">
        <v>0.1</v>
      </c>
      <c r="G157" s="20">
        <v>17.5</v>
      </c>
      <c r="H157" s="20">
        <v>14.27</v>
      </c>
      <c r="I157" s="20">
        <v>40.4</v>
      </c>
      <c r="J157" s="20">
        <v>933.44</v>
      </c>
      <c r="K157" s="32">
        <v>908854.37000000011</v>
      </c>
      <c r="L157" s="2"/>
    </row>
    <row r="158" spans="1:12" x14ac:dyDescent="0.25">
      <c r="A158" s="58">
        <v>46029</v>
      </c>
      <c r="B158" s="18">
        <v>0.25</v>
      </c>
      <c r="C158" s="20">
        <v>3.36</v>
      </c>
      <c r="D158" s="20">
        <v>73.58</v>
      </c>
      <c r="E158" s="20">
        <v>2.2400000000000002</v>
      </c>
      <c r="F158" s="20">
        <v>0.66</v>
      </c>
      <c r="G158" s="20">
        <v>17.52</v>
      </c>
      <c r="H158" s="20">
        <v>14.27</v>
      </c>
      <c r="I158" s="20">
        <v>40.270000000000003</v>
      </c>
      <c r="J158" s="20">
        <v>933.29</v>
      </c>
      <c r="K158" s="32">
        <v>912462.2</v>
      </c>
      <c r="L158" s="2"/>
    </row>
    <row r="159" spans="1:12" x14ac:dyDescent="0.25">
      <c r="A159" s="58">
        <v>46029</v>
      </c>
      <c r="B159" s="18">
        <v>0.29166666666666669</v>
      </c>
      <c r="C159" s="20">
        <v>1.71</v>
      </c>
      <c r="D159" s="20">
        <v>74.099999999999994</v>
      </c>
      <c r="E159" s="20">
        <v>2.44</v>
      </c>
      <c r="F159" s="20">
        <v>0.25</v>
      </c>
      <c r="G159" s="20">
        <v>17.53</v>
      </c>
      <c r="H159" s="20">
        <v>14.26</v>
      </c>
      <c r="I159" s="20">
        <v>40.119999999999997</v>
      </c>
      <c r="J159" s="20">
        <v>933.39</v>
      </c>
      <c r="K159" s="32">
        <v>906623.07000000007</v>
      </c>
      <c r="L159" s="2"/>
    </row>
    <row r="160" spans="1:12" x14ac:dyDescent="0.25">
      <c r="A160" s="58">
        <v>46029</v>
      </c>
      <c r="B160" s="18">
        <v>0.33333333333333331</v>
      </c>
      <c r="C160" s="20">
        <v>3.87</v>
      </c>
      <c r="D160" s="20">
        <v>74.34</v>
      </c>
      <c r="E160" s="20">
        <v>2.5499999999999998</v>
      </c>
      <c r="F160" s="20">
        <v>0.25</v>
      </c>
      <c r="G160" s="20">
        <v>17.52</v>
      </c>
      <c r="H160" s="20">
        <v>14.26</v>
      </c>
      <c r="I160" s="20">
        <v>40.08</v>
      </c>
      <c r="J160" s="20">
        <v>933.45</v>
      </c>
      <c r="K160" s="32">
        <v>918189.28</v>
      </c>
      <c r="L160" s="2"/>
    </row>
    <row r="161" spans="1:12" x14ac:dyDescent="0.25">
      <c r="A161" s="58">
        <v>46029</v>
      </c>
      <c r="B161" s="18">
        <v>0.375</v>
      </c>
      <c r="C161" s="20">
        <v>3.24</v>
      </c>
      <c r="D161" s="20">
        <v>75.290000000000006</v>
      </c>
      <c r="E161" s="20">
        <v>2.59</v>
      </c>
      <c r="F161" s="20">
        <v>0.13</v>
      </c>
      <c r="G161" s="20">
        <v>17.52</v>
      </c>
      <c r="H161" s="20">
        <v>14.25</v>
      </c>
      <c r="I161" s="20">
        <v>40.06</v>
      </c>
      <c r="J161" s="20">
        <v>933.96</v>
      </c>
      <c r="K161" s="32">
        <v>903297.22</v>
      </c>
      <c r="L161" s="2"/>
    </row>
    <row r="162" spans="1:12" x14ac:dyDescent="0.25">
      <c r="A162" s="58">
        <v>46029</v>
      </c>
      <c r="B162" s="18">
        <v>0.41666666666666669</v>
      </c>
      <c r="C162" s="20">
        <v>5.83</v>
      </c>
      <c r="D162" s="20">
        <v>75.25</v>
      </c>
      <c r="E162" s="20">
        <v>2.02</v>
      </c>
      <c r="F162" s="20">
        <v>0.36</v>
      </c>
      <c r="G162" s="20">
        <v>17.52</v>
      </c>
      <c r="H162" s="20">
        <v>14.25</v>
      </c>
      <c r="I162" s="20">
        <v>40.270000000000003</v>
      </c>
      <c r="J162" s="20">
        <v>934.08</v>
      </c>
      <c r="K162" s="32">
        <v>908524.87000000011</v>
      </c>
      <c r="L162" s="2"/>
    </row>
    <row r="163" spans="1:12" x14ac:dyDescent="0.25">
      <c r="A163" s="58">
        <v>46029</v>
      </c>
      <c r="B163" s="18">
        <v>0.45833333333333331</v>
      </c>
      <c r="C163" s="20">
        <v>5.12</v>
      </c>
      <c r="D163" s="20">
        <v>74.709999999999994</v>
      </c>
      <c r="E163" s="20">
        <v>2.19</v>
      </c>
      <c r="F163" s="20">
        <v>0.23</v>
      </c>
      <c r="G163" s="20">
        <v>17.510000000000002</v>
      </c>
      <c r="H163" s="20">
        <v>14.27</v>
      </c>
      <c r="I163" s="20">
        <v>40.54</v>
      </c>
      <c r="J163" s="20">
        <v>933.96</v>
      </c>
      <c r="K163" s="32">
        <v>886203.46</v>
      </c>
      <c r="L163" s="2"/>
    </row>
    <row r="164" spans="1:12" x14ac:dyDescent="0.25">
      <c r="A164" s="58">
        <v>46029</v>
      </c>
      <c r="B164" s="18">
        <v>0.5</v>
      </c>
      <c r="C164" s="20">
        <v>4.46</v>
      </c>
      <c r="D164" s="20">
        <v>74.010000000000005</v>
      </c>
      <c r="E164" s="20">
        <v>2.4500000000000002</v>
      </c>
      <c r="F164" s="20">
        <v>0.19</v>
      </c>
      <c r="G164" s="20">
        <v>17.48</v>
      </c>
      <c r="H164" s="20">
        <v>14.29</v>
      </c>
      <c r="I164" s="20">
        <v>40.81</v>
      </c>
      <c r="J164" s="20">
        <v>933.68</v>
      </c>
      <c r="K164" s="32">
        <v>871874</v>
      </c>
      <c r="L164" s="2"/>
    </row>
    <row r="165" spans="1:12" x14ac:dyDescent="0.25">
      <c r="A165" s="58">
        <v>46029</v>
      </c>
      <c r="B165" s="18">
        <v>0.54166666666666663</v>
      </c>
      <c r="C165" s="20">
        <v>2.83</v>
      </c>
      <c r="D165" s="20">
        <v>73.239999999999995</v>
      </c>
      <c r="E165" s="20">
        <v>2.79</v>
      </c>
      <c r="F165" s="20">
        <v>0.3</v>
      </c>
      <c r="G165" s="20">
        <v>17.47</v>
      </c>
      <c r="H165" s="20">
        <v>14.3</v>
      </c>
      <c r="I165" s="20">
        <v>41.02</v>
      </c>
      <c r="J165" s="20">
        <v>933.3</v>
      </c>
      <c r="K165" s="32">
        <v>872724.89999999991</v>
      </c>
      <c r="L165" s="2"/>
    </row>
    <row r="166" spans="1:12" x14ac:dyDescent="0.25">
      <c r="A166" s="58">
        <v>46029</v>
      </c>
      <c r="B166" s="18">
        <v>0.58333333333333337</v>
      </c>
      <c r="C166" s="20">
        <v>3.98</v>
      </c>
      <c r="D166" s="20">
        <v>71.78</v>
      </c>
      <c r="E166" s="20">
        <v>2.1800000000000002</v>
      </c>
      <c r="F166" s="20">
        <v>0.7</v>
      </c>
      <c r="G166" s="20">
        <v>17.47</v>
      </c>
      <c r="H166" s="20">
        <v>14.31</v>
      </c>
      <c r="I166" s="20">
        <v>41.11</v>
      </c>
      <c r="J166" s="20">
        <v>933.08</v>
      </c>
      <c r="K166" s="32">
        <v>863849.29</v>
      </c>
      <c r="L166" s="2"/>
    </row>
    <row r="167" spans="1:12" x14ac:dyDescent="0.25">
      <c r="A167" s="58">
        <v>46029</v>
      </c>
      <c r="B167" s="18">
        <v>0.625</v>
      </c>
      <c r="C167" s="20">
        <v>4.04</v>
      </c>
      <c r="D167" s="20">
        <v>71.28</v>
      </c>
      <c r="E167" s="20">
        <v>2.23</v>
      </c>
      <c r="F167" s="20">
        <v>1.92</v>
      </c>
      <c r="G167" s="20">
        <v>17.41</v>
      </c>
      <c r="H167" s="20">
        <v>14.33</v>
      </c>
      <c r="I167" s="20">
        <v>41.69</v>
      </c>
      <c r="J167" s="20">
        <v>933.15</v>
      </c>
      <c r="K167" s="32">
        <v>909275.10000000009</v>
      </c>
      <c r="L167" s="2"/>
    </row>
    <row r="168" spans="1:12" x14ac:dyDescent="0.25">
      <c r="A168" s="58">
        <v>46029</v>
      </c>
      <c r="B168" s="18">
        <v>0.66666666666666663</v>
      </c>
      <c r="C168" s="20">
        <v>2.81</v>
      </c>
      <c r="D168" s="20">
        <v>70.44</v>
      </c>
      <c r="E168" s="20">
        <v>2.2000000000000002</v>
      </c>
      <c r="F168" s="20">
        <v>1.66</v>
      </c>
      <c r="G168" s="20">
        <v>17.39</v>
      </c>
      <c r="H168" s="20">
        <v>14.36</v>
      </c>
      <c r="I168" s="20">
        <v>42.22</v>
      </c>
      <c r="J168" s="20">
        <v>932.91</v>
      </c>
      <c r="K168" s="32">
        <v>917982.76</v>
      </c>
      <c r="L168" s="2"/>
    </row>
    <row r="169" spans="1:12" x14ac:dyDescent="0.25">
      <c r="A169" s="58">
        <v>46029</v>
      </c>
      <c r="B169" s="18">
        <v>0.70833333333333337</v>
      </c>
      <c r="C169" s="20">
        <v>3.15</v>
      </c>
      <c r="D169" s="20">
        <v>70.52</v>
      </c>
      <c r="E169" s="20">
        <v>2.0099999999999998</v>
      </c>
      <c r="F169" s="20">
        <v>2.19</v>
      </c>
      <c r="G169" s="20">
        <v>17.39</v>
      </c>
      <c r="H169" s="20">
        <v>14.36</v>
      </c>
      <c r="I169" s="20">
        <v>42.24</v>
      </c>
      <c r="J169" s="20">
        <v>932.98</v>
      </c>
      <c r="K169" s="32">
        <v>920025.56</v>
      </c>
      <c r="L169" s="2"/>
    </row>
    <row r="170" spans="1:12" x14ac:dyDescent="0.25">
      <c r="A170" s="58">
        <v>46029</v>
      </c>
      <c r="B170" s="18">
        <v>0.75</v>
      </c>
      <c r="C170" s="20">
        <v>3.52</v>
      </c>
      <c r="D170" s="20">
        <v>71.17</v>
      </c>
      <c r="E170" s="20">
        <v>2.5</v>
      </c>
      <c r="F170" s="20">
        <v>1.4</v>
      </c>
      <c r="G170" s="20">
        <v>17.39</v>
      </c>
      <c r="H170" s="20">
        <v>14.36</v>
      </c>
      <c r="I170" s="20">
        <v>42.14</v>
      </c>
      <c r="J170" s="20">
        <v>932.76</v>
      </c>
      <c r="K170" s="32">
        <v>914611.71</v>
      </c>
      <c r="L170" s="2"/>
    </row>
    <row r="171" spans="1:12" x14ac:dyDescent="0.25">
      <c r="A171" s="58">
        <v>46029</v>
      </c>
      <c r="B171" s="18">
        <v>0.79166666666666663</v>
      </c>
      <c r="C171" s="20">
        <v>3.46</v>
      </c>
      <c r="D171" s="20">
        <v>71</v>
      </c>
      <c r="E171" s="20">
        <v>2.15</v>
      </c>
      <c r="F171" s="20">
        <v>1.95</v>
      </c>
      <c r="G171" s="20">
        <v>17.399999999999999</v>
      </c>
      <c r="H171" s="20">
        <v>14.36</v>
      </c>
      <c r="I171" s="20">
        <v>42.04</v>
      </c>
      <c r="J171" s="20">
        <v>932.4</v>
      </c>
      <c r="K171" s="32">
        <v>923924.02</v>
      </c>
      <c r="L171" s="2"/>
    </row>
    <row r="172" spans="1:12" x14ac:dyDescent="0.25">
      <c r="A172" s="58">
        <v>46029</v>
      </c>
      <c r="B172" s="18">
        <v>0.83333333333333337</v>
      </c>
      <c r="C172" s="20">
        <v>2.87</v>
      </c>
      <c r="D172" s="20">
        <v>70.61</v>
      </c>
      <c r="E172" s="20">
        <v>1.9</v>
      </c>
      <c r="F172" s="20">
        <v>2.31</v>
      </c>
      <c r="G172" s="20">
        <v>17.420000000000002</v>
      </c>
      <c r="H172" s="20">
        <v>14.37</v>
      </c>
      <c r="I172" s="20">
        <v>42.15</v>
      </c>
      <c r="J172" s="20">
        <v>932.04</v>
      </c>
      <c r="K172" s="32">
        <v>934516.54</v>
      </c>
      <c r="L172" s="2"/>
    </row>
    <row r="173" spans="1:12" x14ac:dyDescent="0.25">
      <c r="A173" s="58">
        <v>46029</v>
      </c>
      <c r="B173" s="18">
        <v>0.875</v>
      </c>
      <c r="C173" s="20">
        <v>3.5</v>
      </c>
      <c r="D173" s="20">
        <v>70.61</v>
      </c>
      <c r="E173" s="20">
        <v>1.92</v>
      </c>
      <c r="F173" s="20">
        <v>2.25</v>
      </c>
      <c r="G173" s="20">
        <v>17.420000000000002</v>
      </c>
      <c r="H173" s="20">
        <v>14.37</v>
      </c>
      <c r="I173" s="20">
        <v>41.86</v>
      </c>
      <c r="J173" s="20">
        <v>931.24</v>
      </c>
      <c r="K173" s="32">
        <v>962084.19</v>
      </c>
      <c r="L173" s="2"/>
    </row>
    <row r="174" spans="1:12" x14ac:dyDescent="0.25">
      <c r="A174" s="58">
        <v>46029</v>
      </c>
      <c r="B174" s="18">
        <v>0.91666666666666663</v>
      </c>
      <c r="C174" s="20">
        <v>3.79</v>
      </c>
      <c r="D174" s="20">
        <v>71.37</v>
      </c>
      <c r="E174" s="20">
        <v>2.4</v>
      </c>
      <c r="F174" s="20">
        <v>1.73</v>
      </c>
      <c r="G174" s="20">
        <v>17.399999999999999</v>
      </c>
      <c r="H174" s="20">
        <v>14.37</v>
      </c>
      <c r="I174" s="20">
        <v>41.57</v>
      </c>
      <c r="J174" s="20">
        <v>930.34</v>
      </c>
      <c r="K174" s="32">
        <v>973196.8899999999</v>
      </c>
      <c r="L174" s="2"/>
    </row>
    <row r="175" spans="1:12" ht="15.75" thickBot="1" x14ac:dyDescent="0.3">
      <c r="A175" s="60">
        <v>46029</v>
      </c>
      <c r="B175" s="35">
        <v>0.95833333333333337</v>
      </c>
      <c r="C175" s="24">
        <v>4.0199999999999996</v>
      </c>
      <c r="D175" s="24">
        <v>72.36</v>
      </c>
      <c r="E175" s="24">
        <v>2.56</v>
      </c>
      <c r="F175" s="24">
        <v>1.63</v>
      </c>
      <c r="G175" s="24">
        <v>17.38</v>
      </c>
      <c r="H175" s="24">
        <v>14.38</v>
      </c>
      <c r="I175" s="24">
        <v>41.35</v>
      </c>
      <c r="J175" s="24">
        <v>929.41</v>
      </c>
      <c r="K175" s="36">
        <v>978459.66999999993</v>
      </c>
      <c r="L175" s="2"/>
    </row>
    <row r="176" spans="1:12" ht="15.75" thickBot="1" x14ac:dyDescent="0.3">
      <c r="A176" s="26" t="s">
        <v>18</v>
      </c>
      <c r="B176" s="44"/>
      <c r="C176" s="45">
        <f t="shared" ref="C176:K176" si="6">IFERROR(ROUND(AVERAGE(C152:C175), 2), "")</f>
        <v>3.84</v>
      </c>
      <c r="D176" s="45">
        <f t="shared" si="6"/>
        <v>73.03</v>
      </c>
      <c r="E176" s="45">
        <f t="shared" si="6"/>
        <v>2.44</v>
      </c>
      <c r="F176" s="45">
        <f t="shared" si="6"/>
        <v>0.98</v>
      </c>
      <c r="G176" s="45">
        <f t="shared" si="6"/>
        <v>17.46</v>
      </c>
      <c r="H176" s="45">
        <f t="shared" si="6"/>
        <v>14.31</v>
      </c>
      <c r="I176" s="45">
        <f t="shared" si="6"/>
        <v>41.16</v>
      </c>
      <c r="J176" s="45">
        <f t="shared" si="6"/>
        <v>933.1</v>
      </c>
      <c r="K176" s="46">
        <f t="shared" si="6"/>
        <v>915394.76</v>
      </c>
      <c r="L176" s="7"/>
    </row>
    <row r="177" spans="1:12" x14ac:dyDescent="0.25">
      <c r="A177" s="57">
        <v>46030</v>
      </c>
      <c r="B177" s="14">
        <v>0</v>
      </c>
      <c r="C177" s="16">
        <v>4.82</v>
      </c>
      <c r="D177" s="16">
        <v>72.209999999999994</v>
      </c>
      <c r="E177" s="16">
        <v>2.5299999999999998</v>
      </c>
      <c r="F177" s="16">
        <v>1.99</v>
      </c>
      <c r="G177" s="16">
        <v>17.399999999999999</v>
      </c>
      <c r="H177" s="16">
        <v>14.39</v>
      </c>
      <c r="I177" s="16">
        <v>41.09</v>
      </c>
      <c r="J177" s="16">
        <v>927.97</v>
      </c>
      <c r="K177" s="31">
        <v>984978.12999999989</v>
      </c>
      <c r="L177" s="2"/>
    </row>
    <row r="178" spans="1:12" x14ac:dyDescent="0.25">
      <c r="A178" s="58">
        <v>46030</v>
      </c>
      <c r="B178" s="18">
        <v>4.1666666666666664E-2</v>
      </c>
      <c r="C178" s="20">
        <v>4.5199999999999996</v>
      </c>
      <c r="D178" s="20">
        <v>74.19</v>
      </c>
      <c r="E178" s="20">
        <v>2.76</v>
      </c>
      <c r="F178" s="20">
        <v>0.57999999999999996</v>
      </c>
      <c r="G178" s="20">
        <v>17.48</v>
      </c>
      <c r="H178" s="20">
        <v>14.35</v>
      </c>
      <c r="I178" s="20">
        <v>39.950000000000003</v>
      </c>
      <c r="J178" s="20">
        <v>926.87</v>
      </c>
      <c r="K178" s="32">
        <v>979905.46</v>
      </c>
      <c r="L178" s="2"/>
    </row>
    <row r="179" spans="1:12" x14ac:dyDescent="0.25">
      <c r="A179" s="58">
        <v>46030</v>
      </c>
      <c r="B179" s="18">
        <v>8.3333333333333329E-2</v>
      </c>
      <c r="C179" s="20">
        <v>6.4</v>
      </c>
      <c r="D179" s="20">
        <v>74.03</v>
      </c>
      <c r="E179" s="20">
        <v>2.74</v>
      </c>
      <c r="F179" s="20">
        <v>0.43</v>
      </c>
      <c r="G179" s="20">
        <v>17.420000000000002</v>
      </c>
      <c r="H179" s="20">
        <v>14.35</v>
      </c>
      <c r="I179" s="20">
        <v>39.340000000000003</v>
      </c>
      <c r="J179" s="20">
        <v>925.4</v>
      </c>
      <c r="K179" s="32">
        <v>987333.72</v>
      </c>
      <c r="L179" s="2"/>
    </row>
    <row r="180" spans="1:12" x14ac:dyDescent="0.25">
      <c r="A180" s="58">
        <v>46030</v>
      </c>
      <c r="B180" s="18">
        <v>0.125</v>
      </c>
      <c r="C180" s="20">
        <v>5.9</v>
      </c>
      <c r="D180" s="20">
        <v>73.11</v>
      </c>
      <c r="E180" s="20">
        <v>3.12</v>
      </c>
      <c r="F180" s="20">
        <v>0.73</v>
      </c>
      <c r="G180" s="20">
        <v>17.48</v>
      </c>
      <c r="H180" s="20">
        <v>14.35</v>
      </c>
      <c r="I180" s="20">
        <v>39.06</v>
      </c>
      <c r="J180" s="20">
        <v>924.12</v>
      </c>
      <c r="K180" s="32">
        <v>959410.51</v>
      </c>
      <c r="L180" s="2"/>
    </row>
    <row r="181" spans="1:12" x14ac:dyDescent="0.25">
      <c r="A181" s="58">
        <v>46030</v>
      </c>
      <c r="B181" s="18">
        <v>0.16666666666666666</v>
      </c>
      <c r="C181" s="20">
        <v>2.93</v>
      </c>
      <c r="D181" s="20">
        <v>71.59</v>
      </c>
      <c r="E181" s="20">
        <v>2.87</v>
      </c>
      <c r="F181" s="20">
        <v>0.87</v>
      </c>
      <c r="G181" s="20">
        <v>17.47</v>
      </c>
      <c r="H181" s="20">
        <v>14.34</v>
      </c>
      <c r="I181" s="20">
        <v>38.82</v>
      </c>
      <c r="J181" s="20">
        <v>924.16</v>
      </c>
      <c r="K181" s="32">
        <v>929524.21</v>
      </c>
      <c r="L181" s="2"/>
    </row>
    <row r="182" spans="1:12" x14ac:dyDescent="0.25">
      <c r="A182" s="58">
        <v>46030</v>
      </c>
      <c r="B182" s="18">
        <v>0.20833333333333334</v>
      </c>
      <c r="C182" s="20">
        <v>4.8</v>
      </c>
      <c r="D182" s="20">
        <v>71.53</v>
      </c>
      <c r="E182" s="20">
        <v>2.82</v>
      </c>
      <c r="F182" s="20">
        <v>1.23</v>
      </c>
      <c r="G182" s="20">
        <v>17.48</v>
      </c>
      <c r="H182" s="20">
        <v>14.35</v>
      </c>
      <c r="I182" s="20">
        <v>38.51</v>
      </c>
      <c r="J182" s="20">
        <v>922.82</v>
      </c>
      <c r="K182" s="32">
        <v>908454.92999999993</v>
      </c>
      <c r="L182" s="2"/>
    </row>
    <row r="183" spans="1:12" x14ac:dyDescent="0.25">
      <c r="A183" s="58">
        <v>46030</v>
      </c>
      <c r="B183" s="18">
        <v>0.25</v>
      </c>
      <c r="C183" s="20">
        <v>4.01</v>
      </c>
      <c r="D183" s="20">
        <v>71.86</v>
      </c>
      <c r="E183" s="20">
        <v>1.54</v>
      </c>
      <c r="F183" s="20">
        <v>1.19</v>
      </c>
      <c r="G183" s="20">
        <v>17.47</v>
      </c>
      <c r="H183" s="20">
        <v>14.34</v>
      </c>
      <c r="I183" s="20">
        <v>38.590000000000003</v>
      </c>
      <c r="J183" s="20">
        <v>923.5</v>
      </c>
      <c r="K183" s="32">
        <v>881071.98</v>
      </c>
      <c r="L183" s="2"/>
    </row>
    <row r="184" spans="1:12" x14ac:dyDescent="0.25">
      <c r="A184" s="58">
        <v>46030</v>
      </c>
      <c r="B184" s="18">
        <v>0.29166666666666669</v>
      </c>
      <c r="C184" s="20">
        <v>3.37</v>
      </c>
      <c r="D184" s="20">
        <v>71.44</v>
      </c>
      <c r="E184" s="20">
        <v>1.35</v>
      </c>
      <c r="F184" s="20">
        <v>1.66</v>
      </c>
      <c r="G184" s="20">
        <v>17.489999999999998</v>
      </c>
      <c r="H184" s="20">
        <v>14.34</v>
      </c>
      <c r="I184" s="20">
        <v>38.700000000000003</v>
      </c>
      <c r="J184" s="20">
        <v>923.53</v>
      </c>
      <c r="K184" s="32">
        <v>892864.82000000007</v>
      </c>
      <c r="L184" s="2"/>
    </row>
    <row r="185" spans="1:12" x14ac:dyDescent="0.25">
      <c r="A185" s="58">
        <v>46030</v>
      </c>
      <c r="B185" s="18">
        <v>0.33333333333333331</v>
      </c>
      <c r="C185" s="20">
        <v>3.83</v>
      </c>
      <c r="D185" s="20">
        <v>71.69</v>
      </c>
      <c r="E185" s="20">
        <v>1.7</v>
      </c>
      <c r="F185" s="20">
        <v>1.85</v>
      </c>
      <c r="G185" s="20">
        <v>17.510000000000002</v>
      </c>
      <c r="H185" s="20">
        <v>14.35</v>
      </c>
      <c r="I185" s="20">
        <v>38.75</v>
      </c>
      <c r="J185" s="20">
        <v>923.24</v>
      </c>
      <c r="K185" s="32">
        <v>892424.04</v>
      </c>
      <c r="L185" s="2"/>
    </row>
    <row r="186" spans="1:12" x14ac:dyDescent="0.25">
      <c r="A186" s="58">
        <v>46030</v>
      </c>
      <c r="B186" s="18">
        <v>0.375</v>
      </c>
      <c r="C186" s="20">
        <v>4.2699999999999996</v>
      </c>
      <c r="D186" s="20">
        <v>72.459999999999994</v>
      </c>
      <c r="E186" s="20">
        <v>2.4900000000000002</v>
      </c>
      <c r="F186" s="20">
        <v>1.85</v>
      </c>
      <c r="G186" s="20">
        <v>17.510000000000002</v>
      </c>
      <c r="H186" s="20">
        <v>14.33</v>
      </c>
      <c r="I186" s="20">
        <v>38.35</v>
      </c>
      <c r="J186" s="20">
        <v>923.2</v>
      </c>
      <c r="K186" s="32">
        <v>906344.23</v>
      </c>
      <c r="L186" s="2"/>
    </row>
    <row r="187" spans="1:12" x14ac:dyDescent="0.25">
      <c r="A187" s="58">
        <v>46030</v>
      </c>
      <c r="B187" s="18">
        <v>0.41666666666666669</v>
      </c>
      <c r="C187" s="20">
        <v>4.8499999999999996</v>
      </c>
      <c r="D187" s="20">
        <v>72.069999999999993</v>
      </c>
      <c r="E187" s="20">
        <v>2.5099999999999998</v>
      </c>
      <c r="F187" s="20">
        <v>1.08</v>
      </c>
      <c r="G187" s="20">
        <v>17.52</v>
      </c>
      <c r="H187" s="20">
        <v>14.31</v>
      </c>
      <c r="I187" s="20">
        <v>37.770000000000003</v>
      </c>
      <c r="J187" s="20">
        <v>923.05</v>
      </c>
      <c r="K187" s="32">
        <v>928067.26</v>
      </c>
      <c r="L187" s="2"/>
    </row>
    <row r="188" spans="1:12" x14ac:dyDescent="0.25">
      <c r="A188" s="58">
        <v>46030</v>
      </c>
      <c r="B188" s="18">
        <v>0.45833333333333331</v>
      </c>
      <c r="C188" s="20">
        <v>5.74</v>
      </c>
      <c r="D188" s="20">
        <v>72.459999999999994</v>
      </c>
      <c r="E188" s="20">
        <v>2.6</v>
      </c>
      <c r="F188" s="20">
        <v>1.07</v>
      </c>
      <c r="G188" s="20">
        <v>17.510000000000002</v>
      </c>
      <c r="H188" s="20">
        <v>14.3</v>
      </c>
      <c r="I188" s="20">
        <v>37.380000000000003</v>
      </c>
      <c r="J188" s="20">
        <v>922.4</v>
      </c>
      <c r="K188" s="32">
        <v>925789.17999999993</v>
      </c>
      <c r="L188" s="2"/>
    </row>
    <row r="189" spans="1:12" x14ac:dyDescent="0.25">
      <c r="A189" s="58">
        <v>46030</v>
      </c>
      <c r="B189" s="18">
        <v>0.5</v>
      </c>
      <c r="C189" s="20">
        <v>6.58</v>
      </c>
      <c r="D189" s="20">
        <v>72.64</v>
      </c>
      <c r="E189" s="20">
        <v>2.78</v>
      </c>
      <c r="F189" s="20">
        <v>1.21</v>
      </c>
      <c r="G189" s="20">
        <v>17.54</v>
      </c>
      <c r="H189" s="20">
        <v>14.3</v>
      </c>
      <c r="I189" s="20">
        <v>37.200000000000003</v>
      </c>
      <c r="J189" s="20">
        <v>921.92</v>
      </c>
      <c r="K189" s="32">
        <v>910522.37000000011</v>
      </c>
      <c r="L189" s="2"/>
    </row>
    <row r="190" spans="1:12" x14ac:dyDescent="0.25">
      <c r="A190" s="58">
        <v>46030</v>
      </c>
      <c r="B190" s="18">
        <v>0.54166666666666663</v>
      </c>
      <c r="C190" s="20">
        <v>3.23</v>
      </c>
      <c r="D190" s="20">
        <v>72.7</v>
      </c>
      <c r="E190" s="20">
        <v>3.03</v>
      </c>
      <c r="F190" s="20">
        <v>1.92</v>
      </c>
      <c r="G190" s="20">
        <v>17.510000000000002</v>
      </c>
      <c r="H190" s="20">
        <v>14.31</v>
      </c>
      <c r="I190" s="20">
        <v>37.340000000000003</v>
      </c>
      <c r="J190" s="20">
        <v>921.69</v>
      </c>
      <c r="K190" s="32">
        <v>921861.82000000007</v>
      </c>
      <c r="L190" s="2"/>
    </row>
    <row r="191" spans="1:12" x14ac:dyDescent="0.25">
      <c r="A191" s="58">
        <v>46030</v>
      </c>
      <c r="B191" s="18">
        <v>0.58333333333333337</v>
      </c>
      <c r="C191" s="20">
        <v>5.62</v>
      </c>
      <c r="D191" s="20">
        <v>73.73</v>
      </c>
      <c r="E191" s="20">
        <v>2.11</v>
      </c>
      <c r="F191" s="20">
        <v>1.4</v>
      </c>
      <c r="G191" s="20">
        <v>17.48</v>
      </c>
      <c r="H191" s="20">
        <v>14.33</v>
      </c>
      <c r="I191" s="20">
        <v>37.78</v>
      </c>
      <c r="J191" s="20">
        <v>921.94</v>
      </c>
      <c r="K191" s="32">
        <v>922293.26</v>
      </c>
      <c r="L191" s="2"/>
    </row>
    <row r="192" spans="1:12" x14ac:dyDescent="0.25">
      <c r="A192" s="58">
        <v>46030</v>
      </c>
      <c r="B192" s="18">
        <v>0.625</v>
      </c>
      <c r="C192" s="20">
        <v>4.47</v>
      </c>
      <c r="D192" s="20">
        <v>72.599999999999994</v>
      </c>
      <c r="E192" s="20">
        <v>2.25</v>
      </c>
      <c r="F192" s="20">
        <v>2.4500000000000002</v>
      </c>
      <c r="G192" s="20">
        <v>17.46</v>
      </c>
      <c r="H192" s="20">
        <v>14.32</v>
      </c>
      <c r="I192" s="20">
        <v>38.020000000000003</v>
      </c>
      <c r="J192" s="20">
        <v>922.86</v>
      </c>
      <c r="K192" s="32">
        <v>913511.82000000007</v>
      </c>
      <c r="L192" s="2"/>
    </row>
    <row r="193" spans="1:12" x14ac:dyDescent="0.25">
      <c r="A193" s="58">
        <v>46030</v>
      </c>
      <c r="B193" s="18">
        <v>0.66666666666666663</v>
      </c>
      <c r="C193" s="20">
        <v>4.13</v>
      </c>
      <c r="D193" s="20">
        <v>72.19</v>
      </c>
      <c r="E193" s="20">
        <v>2.67</v>
      </c>
      <c r="F193" s="20">
        <v>4.92</v>
      </c>
      <c r="G193" s="20">
        <v>17.41</v>
      </c>
      <c r="H193" s="20">
        <v>14.32</v>
      </c>
      <c r="I193" s="20">
        <v>38.22</v>
      </c>
      <c r="J193" s="20">
        <v>923.33</v>
      </c>
      <c r="K193" s="32">
        <v>953480.64999999991</v>
      </c>
      <c r="L193" s="2"/>
    </row>
    <row r="194" spans="1:12" x14ac:dyDescent="0.25">
      <c r="A194" s="58">
        <v>46030</v>
      </c>
      <c r="B194" s="18">
        <v>0.70833333333333337</v>
      </c>
      <c r="C194" s="20">
        <v>4.8</v>
      </c>
      <c r="D194" s="20">
        <v>71.58</v>
      </c>
      <c r="E194" s="20">
        <v>2.98</v>
      </c>
      <c r="F194" s="20">
        <v>5.96</v>
      </c>
      <c r="G194" s="20">
        <v>17.399999999999999</v>
      </c>
      <c r="H194" s="20">
        <v>14.31</v>
      </c>
      <c r="I194" s="20">
        <v>38.11</v>
      </c>
      <c r="J194" s="20">
        <v>924.09</v>
      </c>
      <c r="K194" s="32">
        <v>964533.29</v>
      </c>
      <c r="L194" s="2"/>
    </row>
    <row r="195" spans="1:12" x14ac:dyDescent="0.25">
      <c r="A195" s="58">
        <v>46030</v>
      </c>
      <c r="B195" s="18">
        <v>0.75</v>
      </c>
      <c r="C195" s="20">
        <v>5.36</v>
      </c>
      <c r="D195" s="20">
        <v>71.08</v>
      </c>
      <c r="E195" s="20">
        <v>2.25</v>
      </c>
      <c r="F195" s="20">
        <v>5.16</v>
      </c>
      <c r="G195" s="20">
        <v>17.41</v>
      </c>
      <c r="H195" s="20">
        <v>14.28</v>
      </c>
      <c r="I195" s="20">
        <v>37.67</v>
      </c>
      <c r="J195" s="20">
        <v>924.78</v>
      </c>
      <c r="K195" s="32">
        <v>960989.67999999993</v>
      </c>
      <c r="L195" s="2"/>
    </row>
    <row r="196" spans="1:12" x14ac:dyDescent="0.25">
      <c r="A196" s="58">
        <v>46030</v>
      </c>
      <c r="B196" s="18">
        <v>0.79166666666666663</v>
      </c>
      <c r="C196" s="20">
        <v>3.3</v>
      </c>
      <c r="D196" s="20">
        <v>72.150000000000006</v>
      </c>
      <c r="E196" s="20">
        <v>2.5</v>
      </c>
      <c r="F196" s="20">
        <v>4.05</v>
      </c>
      <c r="G196" s="20">
        <v>17.399999999999999</v>
      </c>
      <c r="H196" s="20">
        <v>14.26</v>
      </c>
      <c r="I196" s="20">
        <v>37.409999999999997</v>
      </c>
      <c r="J196" s="20">
        <v>925.21</v>
      </c>
      <c r="K196" s="32">
        <v>967971.52</v>
      </c>
      <c r="L196" s="2"/>
    </row>
    <row r="197" spans="1:12" x14ac:dyDescent="0.25">
      <c r="A197" s="58">
        <v>46030</v>
      </c>
      <c r="B197" s="18">
        <v>0.83333333333333337</v>
      </c>
      <c r="C197" s="20">
        <v>4.26</v>
      </c>
      <c r="D197" s="20">
        <v>73.89</v>
      </c>
      <c r="E197" s="20">
        <v>2.42</v>
      </c>
      <c r="F197" s="20">
        <v>3.9</v>
      </c>
      <c r="G197" s="20">
        <v>17.420000000000002</v>
      </c>
      <c r="H197" s="20">
        <v>14.24</v>
      </c>
      <c r="I197" s="20">
        <v>37.07</v>
      </c>
      <c r="J197" s="20">
        <v>925.49</v>
      </c>
      <c r="K197" s="32">
        <v>967878.81</v>
      </c>
      <c r="L197" s="2"/>
    </row>
    <row r="198" spans="1:12" x14ac:dyDescent="0.25">
      <c r="A198" s="58">
        <v>46030</v>
      </c>
      <c r="B198" s="18">
        <v>0.875</v>
      </c>
      <c r="C198" s="20">
        <v>4.92</v>
      </c>
      <c r="D198" s="20">
        <v>74.09</v>
      </c>
      <c r="E198" s="20">
        <v>1.73</v>
      </c>
      <c r="F198" s="20">
        <v>3.68</v>
      </c>
      <c r="G198" s="20">
        <v>17.41</v>
      </c>
      <c r="H198" s="20">
        <v>14.23</v>
      </c>
      <c r="I198" s="20">
        <v>37.08</v>
      </c>
      <c r="J198" s="20">
        <v>926.03</v>
      </c>
      <c r="K198" s="32">
        <v>959900.72</v>
      </c>
      <c r="L198" s="2"/>
    </row>
    <row r="199" spans="1:12" x14ac:dyDescent="0.25">
      <c r="A199" s="58">
        <v>46030</v>
      </c>
      <c r="B199" s="18">
        <v>0.91666666666666663</v>
      </c>
      <c r="C199" s="20">
        <v>4.21</v>
      </c>
      <c r="D199" s="20">
        <v>73.77</v>
      </c>
      <c r="E199" s="20">
        <v>1.56</v>
      </c>
      <c r="F199" s="20">
        <v>3.36</v>
      </c>
      <c r="G199" s="20">
        <v>17.43</v>
      </c>
      <c r="H199" s="20">
        <v>14.21</v>
      </c>
      <c r="I199" s="20">
        <v>36.74</v>
      </c>
      <c r="J199" s="20">
        <v>926.4</v>
      </c>
      <c r="K199" s="32">
        <v>971326.59000000008</v>
      </c>
      <c r="L199" s="2"/>
    </row>
    <row r="200" spans="1:12" ht="15.75" thickBot="1" x14ac:dyDescent="0.3">
      <c r="A200" s="60">
        <v>46030</v>
      </c>
      <c r="B200" s="35">
        <v>0.95833333333333337</v>
      </c>
      <c r="C200" s="24">
        <v>4.68</v>
      </c>
      <c r="D200" s="24">
        <v>73.87</v>
      </c>
      <c r="E200" s="24">
        <v>1.5</v>
      </c>
      <c r="F200" s="24">
        <v>2.37</v>
      </c>
      <c r="G200" s="24">
        <v>17.440000000000001</v>
      </c>
      <c r="H200" s="24">
        <v>14.18</v>
      </c>
      <c r="I200" s="24">
        <v>36.25</v>
      </c>
      <c r="J200" s="24">
        <v>926.85</v>
      </c>
      <c r="K200" s="36">
        <v>982115.01</v>
      </c>
      <c r="L200" s="2"/>
    </row>
    <row r="201" spans="1:12" ht="15.75" thickBot="1" x14ac:dyDescent="0.3">
      <c r="A201" s="26" t="s">
        <v>19</v>
      </c>
      <c r="B201" s="44"/>
      <c r="C201" s="45">
        <f t="shared" ref="C201:K201" si="7">IFERROR(ROUND(AVERAGE(C177:C200), 2), "")</f>
        <v>4.63</v>
      </c>
      <c r="D201" s="45">
        <f t="shared" si="7"/>
        <v>72.62</v>
      </c>
      <c r="E201" s="45">
        <f t="shared" si="7"/>
        <v>2.37</v>
      </c>
      <c r="F201" s="45">
        <f t="shared" si="7"/>
        <v>2.29</v>
      </c>
      <c r="G201" s="45">
        <f t="shared" si="7"/>
        <v>17.46</v>
      </c>
      <c r="H201" s="45">
        <f t="shared" si="7"/>
        <v>14.31</v>
      </c>
      <c r="I201" s="45">
        <f t="shared" si="7"/>
        <v>38.130000000000003</v>
      </c>
      <c r="J201" s="45">
        <f t="shared" si="7"/>
        <v>924.2</v>
      </c>
      <c r="K201" s="46">
        <f t="shared" si="7"/>
        <v>940523.08</v>
      </c>
      <c r="L201" s="7"/>
    </row>
    <row r="202" spans="1:12" x14ac:dyDescent="0.25">
      <c r="A202" s="57">
        <v>46031</v>
      </c>
      <c r="B202" s="14">
        <v>0</v>
      </c>
      <c r="C202" s="16">
        <v>4.7</v>
      </c>
      <c r="D202" s="16">
        <v>73.989999999999995</v>
      </c>
      <c r="E202" s="16">
        <v>1.32</v>
      </c>
      <c r="F202" s="16">
        <v>2.37</v>
      </c>
      <c r="G202" s="16">
        <v>17.43</v>
      </c>
      <c r="H202" s="16">
        <v>14.15</v>
      </c>
      <c r="I202" s="16">
        <v>35.770000000000003</v>
      </c>
      <c r="J202" s="16">
        <v>927.31</v>
      </c>
      <c r="K202" s="31">
        <v>970910.15999999992</v>
      </c>
      <c r="L202" s="2"/>
    </row>
    <row r="203" spans="1:12" x14ac:dyDescent="0.25">
      <c r="A203" s="58">
        <v>46031</v>
      </c>
      <c r="B203" s="18">
        <v>4.1666666666666664E-2</v>
      </c>
      <c r="C203" s="20">
        <v>5.47</v>
      </c>
      <c r="D203" s="20">
        <v>73.17</v>
      </c>
      <c r="E203" s="20">
        <v>1.31</v>
      </c>
      <c r="F203" s="20">
        <v>2.1800000000000002</v>
      </c>
      <c r="G203" s="20">
        <v>17.489999999999998</v>
      </c>
      <c r="H203" s="20">
        <v>14.12</v>
      </c>
      <c r="I203" s="20">
        <v>35.200000000000003</v>
      </c>
      <c r="J203" s="20">
        <v>927.62</v>
      </c>
      <c r="K203" s="32">
        <v>952837.54</v>
      </c>
      <c r="L203" s="2"/>
    </row>
    <row r="204" spans="1:12" x14ac:dyDescent="0.25">
      <c r="A204" s="58">
        <v>46031</v>
      </c>
      <c r="B204" s="18">
        <v>8.3333333333333329E-2</v>
      </c>
      <c r="C204" s="20">
        <v>5.83</v>
      </c>
      <c r="D204" s="20">
        <v>73.81</v>
      </c>
      <c r="E204" s="20">
        <v>1.34</v>
      </c>
      <c r="F204" s="20">
        <v>2.17</v>
      </c>
      <c r="G204" s="20">
        <v>17.48</v>
      </c>
      <c r="H204" s="20">
        <v>14.11</v>
      </c>
      <c r="I204" s="20">
        <v>35.36</v>
      </c>
      <c r="J204" s="20">
        <v>928.32</v>
      </c>
      <c r="K204" s="32">
        <v>939066.12000000011</v>
      </c>
      <c r="L204" s="2"/>
    </row>
    <row r="205" spans="1:12" x14ac:dyDescent="0.25">
      <c r="A205" s="58">
        <v>46031</v>
      </c>
      <c r="B205" s="18">
        <v>0.125</v>
      </c>
      <c r="C205" s="20">
        <v>5.39</v>
      </c>
      <c r="D205" s="20">
        <v>73.349999999999994</v>
      </c>
      <c r="E205" s="20">
        <v>1.31</v>
      </c>
      <c r="F205" s="20">
        <v>1.74</v>
      </c>
      <c r="G205" s="20">
        <v>17.48</v>
      </c>
      <c r="H205" s="20">
        <v>14.1</v>
      </c>
      <c r="I205" s="20">
        <v>35.33</v>
      </c>
      <c r="J205" s="20">
        <v>928.92</v>
      </c>
      <c r="K205" s="32">
        <v>934262.7</v>
      </c>
      <c r="L205" s="2"/>
    </row>
    <row r="206" spans="1:12" x14ac:dyDescent="0.25">
      <c r="A206" s="58">
        <v>46031</v>
      </c>
      <c r="B206" s="18">
        <v>0.16666666666666666</v>
      </c>
      <c r="C206" s="20">
        <v>5.82</v>
      </c>
      <c r="D206" s="20">
        <v>73.8</v>
      </c>
      <c r="E206" s="20">
        <v>1.34</v>
      </c>
      <c r="F206" s="20">
        <v>1.73</v>
      </c>
      <c r="G206" s="20">
        <v>17.440000000000001</v>
      </c>
      <c r="H206" s="20">
        <v>14.1</v>
      </c>
      <c r="I206" s="20">
        <v>35.229999999999997</v>
      </c>
      <c r="J206" s="20">
        <v>929.13</v>
      </c>
      <c r="K206" s="32">
        <v>941455.46</v>
      </c>
      <c r="L206" s="2"/>
    </row>
    <row r="207" spans="1:12" x14ac:dyDescent="0.25">
      <c r="A207" s="58">
        <v>46031</v>
      </c>
      <c r="B207" s="18">
        <v>0.20833333333333334</v>
      </c>
      <c r="C207" s="20">
        <v>5.9</v>
      </c>
      <c r="D207" s="20">
        <v>72.819999999999993</v>
      </c>
      <c r="E207" s="20">
        <v>1.31</v>
      </c>
      <c r="F207" s="20">
        <v>3.22</v>
      </c>
      <c r="G207" s="20">
        <v>17.420000000000002</v>
      </c>
      <c r="H207" s="20">
        <v>14.08</v>
      </c>
      <c r="I207" s="20">
        <v>34.950000000000003</v>
      </c>
      <c r="J207" s="20">
        <v>929.05</v>
      </c>
      <c r="K207" s="32">
        <v>948967.64999999991</v>
      </c>
      <c r="L207" s="2"/>
    </row>
    <row r="208" spans="1:12" x14ac:dyDescent="0.25">
      <c r="A208" s="58">
        <v>46031</v>
      </c>
      <c r="B208" s="18">
        <v>0.25</v>
      </c>
      <c r="C208" s="20">
        <v>4.91</v>
      </c>
      <c r="D208" s="20">
        <v>71.38</v>
      </c>
      <c r="E208" s="20">
        <v>1.26</v>
      </c>
      <c r="F208" s="20">
        <v>3.4</v>
      </c>
      <c r="G208" s="20">
        <v>17.399999999999999</v>
      </c>
      <c r="H208" s="20">
        <v>14.09</v>
      </c>
      <c r="I208" s="20">
        <v>35.08</v>
      </c>
      <c r="J208" s="20">
        <v>929.36</v>
      </c>
      <c r="K208" s="32">
        <v>954517.56</v>
      </c>
      <c r="L208" s="2"/>
    </row>
    <row r="209" spans="1:12" x14ac:dyDescent="0.25">
      <c r="A209" s="58">
        <v>46031</v>
      </c>
      <c r="B209" s="18">
        <v>0.29166666666666669</v>
      </c>
      <c r="C209" s="20">
        <v>5.35</v>
      </c>
      <c r="D209" s="20">
        <v>71.69</v>
      </c>
      <c r="E209" s="20">
        <v>1.26</v>
      </c>
      <c r="F209" s="20">
        <v>2.58</v>
      </c>
      <c r="G209" s="20">
        <v>17.39</v>
      </c>
      <c r="H209" s="20">
        <v>14.07</v>
      </c>
      <c r="I209" s="20">
        <v>34.869999999999997</v>
      </c>
      <c r="J209" s="20">
        <v>929.98</v>
      </c>
      <c r="K209" s="32">
        <v>951470.75</v>
      </c>
      <c r="L209" s="2"/>
    </row>
    <row r="210" spans="1:12" x14ac:dyDescent="0.25">
      <c r="A210" s="58">
        <v>46031</v>
      </c>
      <c r="B210" s="18">
        <v>0.33333333333333331</v>
      </c>
      <c r="C210" s="20">
        <v>6.83</v>
      </c>
      <c r="D210" s="20">
        <v>71.95</v>
      </c>
      <c r="E210" s="20">
        <v>1.23</v>
      </c>
      <c r="F210" s="20">
        <v>3.4</v>
      </c>
      <c r="G210" s="20">
        <v>17.39</v>
      </c>
      <c r="H210" s="20">
        <v>14.06</v>
      </c>
      <c r="I210" s="20">
        <v>34.799999999999997</v>
      </c>
      <c r="J210" s="20">
        <v>930.37</v>
      </c>
      <c r="K210" s="32">
        <v>955417.27</v>
      </c>
      <c r="L210" s="2"/>
    </row>
    <row r="211" spans="1:12" x14ac:dyDescent="0.25">
      <c r="A211" s="58">
        <v>46031</v>
      </c>
      <c r="B211" s="18">
        <v>0.375</v>
      </c>
      <c r="C211" s="20">
        <v>5.66</v>
      </c>
      <c r="D211" s="20">
        <v>71.56</v>
      </c>
      <c r="E211" s="20">
        <v>1.1499999999999999</v>
      </c>
      <c r="F211" s="20">
        <v>3.5</v>
      </c>
      <c r="G211" s="20">
        <v>17.39</v>
      </c>
      <c r="H211" s="20">
        <v>14.07</v>
      </c>
      <c r="I211" s="20">
        <v>35.25</v>
      </c>
      <c r="J211" s="20">
        <v>930.63</v>
      </c>
      <c r="K211" s="32">
        <v>942037.49</v>
      </c>
      <c r="L211" s="2"/>
    </row>
    <row r="212" spans="1:12" x14ac:dyDescent="0.25">
      <c r="A212" s="58">
        <v>46031</v>
      </c>
      <c r="B212" s="18">
        <v>0.41666666666666669</v>
      </c>
      <c r="C212" s="20">
        <v>5.0999999999999996</v>
      </c>
      <c r="D212" s="20">
        <v>71.53</v>
      </c>
      <c r="E212" s="20">
        <v>1.1499999999999999</v>
      </c>
      <c r="F212" s="20">
        <v>2.25</v>
      </c>
      <c r="G212" s="20">
        <v>17.39</v>
      </c>
      <c r="H212" s="20">
        <v>14.1</v>
      </c>
      <c r="I212" s="20">
        <v>35.99</v>
      </c>
      <c r="J212" s="20">
        <v>931.14</v>
      </c>
      <c r="K212" s="32">
        <v>944048.05</v>
      </c>
      <c r="L212" s="2"/>
    </row>
    <row r="213" spans="1:12" x14ac:dyDescent="0.25">
      <c r="A213" s="58">
        <v>46031</v>
      </c>
      <c r="B213" s="18">
        <v>0.45833333333333331</v>
      </c>
      <c r="C213" s="20">
        <v>4.99</v>
      </c>
      <c r="D213" s="20">
        <v>70.319999999999993</v>
      </c>
      <c r="E213" s="20">
        <v>1.24</v>
      </c>
      <c r="F213" s="20">
        <v>2.87</v>
      </c>
      <c r="G213" s="20">
        <v>17.38</v>
      </c>
      <c r="H213" s="20">
        <v>14.12</v>
      </c>
      <c r="I213" s="20">
        <v>36.57</v>
      </c>
      <c r="J213" s="20">
        <v>931.28</v>
      </c>
      <c r="K213" s="32">
        <v>934437.58000000007</v>
      </c>
      <c r="L213" s="2"/>
    </row>
    <row r="214" spans="1:12" x14ac:dyDescent="0.25">
      <c r="A214" s="58">
        <v>46031</v>
      </c>
      <c r="B214" s="18">
        <v>0.5</v>
      </c>
      <c r="C214" s="20">
        <v>6.51</v>
      </c>
      <c r="D214" s="20">
        <v>70.58</v>
      </c>
      <c r="E214" s="20">
        <v>1.01</v>
      </c>
      <c r="F214" s="20">
        <v>4.45</v>
      </c>
      <c r="G214" s="20">
        <v>17.36</v>
      </c>
      <c r="H214" s="20">
        <v>14.17</v>
      </c>
      <c r="I214" s="20">
        <v>37.450000000000003</v>
      </c>
      <c r="J214" s="20">
        <v>931</v>
      </c>
      <c r="K214" s="32">
        <v>927496.16999999993</v>
      </c>
      <c r="L214" s="2"/>
    </row>
    <row r="215" spans="1:12" x14ac:dyDescent="0.25">
      <c r="A215" s="58">
        <v>46031</v>
      </c>
      <c r="B215" s="18">
        <v>0.54166666666666663</v>
      </c>
      <c r="C215" s="20">
        <v>7.21</v>
      </c>
      <c r="D215" s="20">
        <v>69.7</v>
      </c>
      <c r="E215" s="20">
        <v>0.98</v>
      </c>
      <c r="F215" s="20">
        <v>5.41</v>
      </c>
      <c r="G215" s="20">
        <v>17.350000000000001</v>
      </c>
      <c r="H215" s="20">
        <v>14.21</v>
      </c>
      <c r="I215" s="20">
        <v>38.07</v>
      </c>
      <c r="J215" s="20">
        <v>930.39</v>
      </c>
      <c r="K215" s="32">
        <v>915069.8</v>
      </c>
      <c r="L215" s="2"/>
    </row>
    <row r="216" spans="1:12" x14ac:dyDescent="0.25">
      <c r="A216" s="58">
        <v>46031</v>
      </c>
      <c r="B216" s="18">
        <v>0.58333333333333337</v>
      </c>
      <c r="C216" s="20">
        <v>6.41</v>
      </c>
      <c r="D216" s="20">
        <v>69.39</v>
      </c>
      <c r="E216" s="20">
        <v>0.98</v>
      </c>
      <c r="F216" s="20">
        <v>5.24</v>
      </c>
      <c r="G216" s="20">
        <v>17.34</v>
      </c>
      <c r="H216" s="20">
        <v>14.24</v>
      </c>
      <c r="I216" s="20">
        <v>38.619999999999997</v>
      </c>
      <c r="J216" s="20">
        <v>929.92</v>
      </c>
      <c r="K216" s="32">
        <v>912110.10000000009</v>
      </c>
      <c r="L216" s="2"/>
    </row>
    <row r="217" spans="1:12" x14ac:dyDescent="0.25">
      <c r="A217" s="58">
        <v>46031</v>
      </c>
      <c r="B217" s="18">
        <v>0.625</v>
      </c>
      <c r="C217" s="20">
        <v>6.46</v>
      </c>
      <c r="D217" s="20">
        <v>68.34</v>
      </c>
      <c r="E217" s="20">
        <v>1.1000000000000001</v>
      </c>
      <c r="F217" s="20">
        <v>7.56</v>
      </c>
      <c r="G217" s="20">
        <v>17.34</v>
      </c>
      <c r="H217" s="20">
        <v>14.25</v>
      </c>
      <c r="I217" s="20">
        <v>38.81</v>
      </c>
      <c r="J217" s="20">
        <v>929.62</v>
      </c>
      <c r="K217" s="32">
        <v>920131.92999999993</v>
      </c>
      <c r="L217" s="2"/>
    </row>
    <row r="218" spans="1:12" x14ac:dyDescent="0.25">
      <c r="A218" s="58">
        <v>46031</v>
      </c>
      <c r="B218" s="18">
        <v>0.66666666666666663</v>
      </c>
      <c r="C218" s="20">
        <v>3.81</v>
      </c>
      <c r="D218" s="20">
        <v>67.63</v>
      </c>
      <c r="E218" s="20">
        <v>1.19</v>
      </c>
      <c r="F218" s="20">
        <v>10.4</v>
      </c>
      <c r="G218" s="20">
        <v>17.350000000000001</v>
      </c>
      <c r="H218" s="20">
        <v>14.25</v>
      </c>
      <c r="I218" s="20">
        <v>38.75</v>
      </c>
      <c r="J218" s="20">
        <v>929.56</v>
      </c>
      <c r="K218" s="32">
        <v>921284.90999999992</v>
      </c>
      <c r="L218" s="2"/>
    </row>
    <row r="219" spans="1:12" x14ac:dyDescent="0.25">
      <c r="A219" s="58">
        <v>46031</v>
      </c>
      <c r="B219" s="18">
        <v>0.70833333333333337</v>
      </c>
      <c r="C219" s="20">
        <v>5.4</v>
      </c>
      <c r="D219" s="20">
        <v>67.569999999999993</v>
      </c>
      <c r="E219" s="20">
        <v>1.28</v>
      </c>
      <c r="F219" s="20">
        <v>10.69</v>
      </c>
      <c r="G219" s="20">
        <v>17.329999999999998</v>
      </c>
      <c r="H219" s="20">
        <v>14.25</v>
      </c>
      <c r="I219" s="20">
        <v>38.729999999999997</v>
      </c>
      <c r="J219" s="20">
        <v>929.76</v>
      </c>
      <c r="K219" s="32">
        <v>924033.12000000011</v>
      </c>
      <c r="L219" s="2"/>
    </row>
    <row r="220" spans="1:12" x14ac:dyDescent="0.25">
      <c r="A220" s="58">
        <v>46031</v>
      </c>
      <c r="B220" s="18">
        <v>0.75</v>
      </c>
      <c r="C220" s="20">
        <v>3.49</v>
      </c>
      <c r="D220" s="20">
        <v>67.25</v>
      </c>
      <c r="E220" s="20">
        <v>1.04</v>
      </c>
      <c r="F220" s="20">
        <v>9.11</v>
      </c>
      <c r="G220" s="20">
        <v>17.32</v>
      </c>
      <c r="H220" s="20">
        <v>14.25</v>
      </c>
      <c r="I220" s="20">
        <v>38.72</v>
      </c>
      <c r="J220" s="20">
        <v>929.65</v>
      </c>
      <c r="K220" s="32">
        <v>919104.77</v>
      </c>
      <c r="L220" s="2"/>
    </row>
    <row r="221" spans="1:12" x14ac:dyDescent="0.25">
      <c r="A221" s="58">
        <v>46031</v>
      </c>
      <c r="B221" s="18">
        <v>0.79166666666666663</v>
      </c>
      <c r="C221" s="20">
        <v>5.24</v>
      </c>
      <c r="D221" s="20">
        <v>68.56</v>
      </c>
      <c r="E221" s="20">
        <v>0.94</v>
      </c>
      <c r="F221" s="20">
        <v>6.42</v>
      </c>
      <c r="G221" s="20">
        <v>17.329999999999998</v>
      </c>
      <c r="H221" s="20">
        <v>14.26</v>
      </c>
      <c r="I221" s="20">
        <v>38.75</v>
      </c>
      <c r="J221" s="20">
        <v>929.2</v>
      </c>
      <c r="K221" s="32">
        <v>924350.35000000009</v>
      </c>
      <c r="L221" s="2"/>
    </row>
    <row r="222" spans="1:12" x14ac:dyDescent="0.25">
      <c r="A222" s="58">
        <v>46031</v>
      </c>
      <c r="B222" s="18">
        <v>0.83333333333333337</v>
      </c>
      <c r="C222" s="20">
        <v>6.72</v>
      </c>
      <c r="D222" s="20">
        <v>68.7</v>
      </c>
      <c r="E222" s="20">
        <v>0.87</v>
      </c>
      <c r="F222" s="20">
        <v>8.83</v>
      </c>
      <c r="G222" s="20">
        <v>17.309999999999999</v>
      </c>
      <c r="H222" s="20">
        <v>14.27</v>
      </c>
      <c r="I222" s="20">
        <v>39.11</v>
      </c>
      <c r="J222" s="20">
        <v>929.11</v>
      </c>
      <c r="K222" s="32">
        <v>907142.45</v>
      </c>
      <c r="L222" s="2"/>
    </row>
    <row r="223" spans="1:12" x14ac:dyDescent="0.25">
      <c r="A223" s="58">
        <v>46031</v>
      </c>
      <c r="B223" s="18">
        <v>0.875</v>
      </c>
      <c r="C223" s="20">
        <v>5.15</v>
      </c>
      <c r="D223" s="20">
        <v>69.48</v>
      </c>
      <c r="E223" s="20">
        <v>1.0900000000000001</v>
      </c>
      <c r="F223" s="20">
        <v>6.9</v>
      </c>
      <c r="G223" s="20">
        <v>17.28</v>
      </c>
      <c r="H223" s="20">
        <v>14.28</v>
      </c>
      <c r="I223" s="20">
        <v>39.14</v>
      </c>
      <c r="J223" s="20">
        <v>928.91</v>
      </c>
      <c r="K223" s="32">
        <v>908368.3</v>
      </c>
      <c r="L223" s="2"/>
    </row>
    <row r="224" spans="1:12" x14ac:dyDescent="0.25">
      <c r="A224" s="58">
        <v>46031</v>
      </c>
      <c r="B224" s="18">
        <v>0.91666666666666663</v>
      </c>
      <c r="C224" s="20">
        <v>4.76</v>
      </c>
      <c r="D224" s="20">
        <v>70.239999999999995</v>
      </c>
      <c r="E224" s="20">
        <v>0.98</v>
      </c>
      <c r="F224" s="20">
        <v>4.83</v>
      </c>
      <c r="G224" s="20">
        <v>17.3</v>
      </c>
      <c r="H224" s="20">
        <v>14.29</v>
      </c>
      <c r="I224" s="20">
        <v>39.22</v>
      </c>
      <c r="J224" s="20">
        <v>928.4</v>
      </c>
      <c r="K224" s="32">
        <v>908940.2</v>
      </c>
      <c r="L224" s="2"/>
    </row>
    <row r="225" spans="1:12" ht="15.75" thickBot="1" x14ac:dyDescent="0.3">
      <c r="A225" s="60">
        <v>46031</v>
      </c>
      <c r="B225" s="35">
        <v>0.95833333333333337</v>
      </c>
      <c r="C225" s="24">
        <v>5.69</v>
      </c>
      <c r="D225" s="24">
        <v>71.569999999999993</v>
      </c>
      <c r="E225" s="24">
        <v>0.82</v>
      </c>
      <c r="F225" s="24">
        <v>7.09</v>
      </c>
      <c r="G225" s="24">
        <v>17.32</v>
      </c>
      <c r="H225" s="24">
        <v>14.3</v>
      </c>
      <c r="I225" s="24">
        <v>39.14</v>
      </c>
      <c r="J225" s="24">
        <v>927.83</v>
      </c>
      <c r="K225" s="36">
        <v>907409.05</v>
      </c>
      <c r="L225" s="2"/>
    </row>
    <row r="226" spans="1:12" ht="15.75" thickBot="1" x14ac:dyDescent="0.3">
      <c r="A226" s="26" t="s">
        <v>20</v>
      </c>
      <c r="B226" s="44"/>
      <c r="C226" s="45">
        <f t="shared" ref="C226:K226" si="8">IFERROR(ROUND(AVERAGE(C202:C225), 2), "")</f>
        <v>5.53</v>
      </c>
      <c r="D226" s="45">
        <f t="shared" si="8"/>
        <v>70.77</v>
      </c>
      <c r="E226" s="45">
        <f t="shared" si="8"/>
        <v>1.1499999999999999</v>
      </c>
      <c r="F226" s="45">
        <f t="shared" si="8"/>
        <v>4.93</v>
      </c>
      <c r="G226" s="45">
        <f t="shared" si="8"/>
        <v>17.38</v>
      </c>
      <c r="H226" s="45">
        <f t="shared" si="8"/>
        <v>14.17</v>
      </c>
      <c r="I226" s="45">
        <f t="shared" si="8"/>
        <v>37.04</v>
      </c>
      <c r="J226" s="45">
        <f t="shared" si="8"/>
        <v>929.44</v>
      </c>
      <c r="K226" s="46">
        <f t="shared" si="8"/>
        <v>931869.56</v>
      </c>
      <c r="L226" s="7"/>
    </row>
    <row r="227" spans="1:12" x14ac:dyDescent="0.25">
      <c r="A227" s="57">
        <v>46032</v>
      </c>
      <c r="B227" s="14">
        <v>0</v>
      </c>
      <c r="C227" s="16">
        <v>6.16</v>
      </c>
      <c r="D227" s="16">
        <v>72.77</v>
      </c>
      <c r="E227" s="16">
        <v>0.72</v>
      </c>
      <c r="F227" s="16">
        <v>6.28</v>
      </c>
      <c r="G227" s="16">
        <v>17.309999999999999</v>
      </c>
      <c r="H227" s="16">
        <v>14.33</v>
      </c>
      <c r="I227" s="16">
        <v>39.46</v>
      </c>
      <c r="J227" s="16">
        <v>926.83</v>
      </c>
      <c r="K227" s="31">
        <v>902180.08000000007</v>
      </c>
      <c r="L227" s="2"/>
    </row>
    <row r="228" spans="1:12" x14ac:dyDescent="0.25">
      <c r="A228" s="58">
        <v>46032</v>
      </c>
      <c r="B228" s="18">
        <v>4.1666666666666664E-2</v>
      </c>
      <c r="C228" s="20">
        <v>6.5</v>
      </c>
      <c r="D228" s="20">
        <v>73.73</v>
      </c>
      <c r="E228" s="20">
        <v>0.89</v>
      </c>
      <c r="F228" s="20">
        <v>3.02</v>
      </c>
      <c r="G228" s="20">
        <v>17.29</v>
      </c>
      <c r="H228" s="20">
        <v>14.36</v>
      </c>
      <c r="I228" s="20">
        <v>40.01</v>
      </c>
      <c r="J228" s="20">
        <v>926.32</v>
      </c>
      <c r="K228" s="32">
        <v>906721.55</v>
      </c>
      <c r="L228" s="2"/>
    </row>
    <row r="229" spans="1:12" x14ac:dyDescent="0.25">
      <c r="A229" s="58">
        <v>46032</v>
      </c>
      <c r="B229" s="18">
        <v>8.3333333333333329E-2</v>
      </c>
      <c r="C229" s="20">
        <v>6.09</v>
      </c>
      <c r="D229" s="20">
        <v>73.540000000000006</v>
      </c>
      <c r="E229" s="20">
        <v>0.66</v>
      </c>
      <c r="F229" s="20">
        <v>3.99</v>
      </c>
      <c r="G229" s="20">
        <v>17.32</v>
      </c>
      <c r="H229" s="20">
        <v>14.37</v>
      </c>
      <c r="I229" s="20">
        <v>40.119999999999997</v>
      </c>
      <c r="J229" s="20">
        <v>925.65</v>
      </c>
      <c r="K229" s="32">
        <v>906969.90999999992</v>
      </c>
      <c r="L229" s="2"/>
    </row>
    <row r="230" spans="1:12" x14ac:dyDescent="0.25">
      <c r="A230" s="58">
        <v>46032</v>
      </c>
      <c r="B230" s="18">
        <v>0.125</v>
      </c>
      <c r="C230" s="20">
        <v>5.53</v>
      </c>
      <c r="D230" s="20">
        <v>73.319999999999993</v>
      </c>
      <c r="E230" s="20">
        <v>0.84</v>
      </c>
      <c r="F230" s="20">
        <v>4.34</v>
      </c>
      <c r="G230" s="20">
        <v>17.329999999999998</v>
      </c>
      <c r="H230" s="20">
        <v>14.37</v>
      </c>
      <c r="I230" s="20">
        <v>39.840000000000003</v>
      </c>
      <c r="J230" s="20">
        <v>925.15</v>
      </c>
      <c r="K230" s="32">
        <v>915382.8</v>
      </c>
      <c r="L230" s="2"/>
    </row>
    <row r="231" spans="1:12" x14ac:dyDescent="0.25">
      <c r="A231" s="58">
        <v>46032</v>
      </c>
      <c r="B231" s="18">
        <v>0.16666666666666666</v>
      </c>
      <c r="C231" s="20">
        <v>5.27</v>
      </c>
      <c r="D231" s="20">
        <v>73.36</v>
      </c>
      <c r="E231" s="20">
        <v>1.22</v>
      </c>
      <c r="F231" s="20">
        <v>4.25</v>
      </c>
      <c r="G231" s="20">
        <v>17.32</v>
      </c>
      <c r="H231" s="20">
        <v>14.37</v>
      </c>
      <c r="I231" s="20">
        <v>39.82</v>
      </c>
      <c r="J231" s="20">
        <v>924.94</v>
      </c>
      <c r="K231" s="32">
        <v>907288.09000000008</v>
      </c>
      <c r="L231" s="2"/>
    </row>
    <row r="232" spans="1:12" x14ac:dyDescent="0.25">
      <c r="A232" s="58">
        <v>46032</v>
      </c>
      <c r="B232" s="18">
        <v>0.20833333333333334</v>
      </c>
      <c r="C232" s="20">
        <v>5.78</v>
      </c>
      <c r="D232" s="20">
        <v>73.27</v>
      </c>
      <c r="E232" s="20">
        <v>1.04</v>
      </c>
      <c r="F232" s="20">
        <v>4.58</v>
      </c>
      <c r="G232" s="20">
        <v>17.32</v>
      </c>
      <c r="H232" s="20">
        <v>14.38</v>
      </c>
      <c r="I232" s="20">
        <v>39.94</v>
      </c>
      <c r="J232" s="20">
        <v>924.66</v>
      </c>
      <c r="K232" s="32">
        <v>910941.99</v>
      </c>
      <c r="L232" s="2"/>
    </row>
    <row r="233" spans="1:12" x14ac:dyDescent="0.25">
      <c r="A233" s="58">
        <v>46032</v>
      </c>
      <c r="B233" s="18">
        <v>0.25</v>
      </c>
      <c r="C233" s="20">
        <v>5.76</v>
      </c>
      <c r="D233" s="20">
        <v>72.75</v>
      </c>
      <c r="E233" s="20">
        <v>1.38</v>
      </c>
      <c r="F233" s="20">
        <v>7.47</v>
      </c>
      <c r="G233" s="20">
        <v>17.34</v>
      </c>
      <c r="H233" s="20">
        <v>14.38</v>
      </c>
      <c r="I233" s="20">
        <v>39.83</v>
      </c>
      <c r="J233" s="20">
        <v>924.51</v>
      </c>
      <c r="K233" s="32">
        <v>912059.17999999993</v>
      </c>
      <c r="L233" s="2"/>
    </row>
    <row r="234" spans="1:12" x14ac:dyDescent="0.25">
      <c r="A234" s="58">
        <v>46032</v>
      </c>
      <c r="B234" s="18">
        <v>0.29166666666666669</v>
      </c>
      <c r="C234" s="20">
        <v>5.92</v>
      </c>
      <c r="D234" s="20">
        <v>72.16</v>
      </c>
      <c r="E234" s="20">
        <v>1.31</v>
      </c>
      <c r="F234" s="20">
        <v>8.82</v>
      </c>
      <c r="G234" s="20">
        <v>17.34</v>
      </c>
      <c r="H234" s="20">
        <v>14.38</v>
      </c>
      <c r="I234" s="20">
        <v>39.89</v>
      </c>
      <c r="J234" s="20">
        <v>924.7</v>
      </c>
      <c r="K234" s="32">
        <v>915092.47</v>
      </c>
      <c r="L234" s="2"/>
    </row>
    <row r="235" spans="1:12" x14ac:dyDescent="0.25">
      <c r="A235" s="58">
        <v>46032</v>
      </c>
      <c r="B235" s="18">
        <v>0.33333333333333331</v>
      </c>
      <c r="C235" s="20">
        <v>5.29</v>
      </c>
      <c r="D235" s="20">
        <v>71.91</v>
      </c>
      <c r="E235" s="20">
        <v>1.26</v>
      </c>
      <c r="F235" s="20">
        <v>9.4499999999999993</v>
      </c>
      <c r="G235" s="20">
        <v>17.34</v>
      </c>
      <c r="H235" s="20">
        <v>14.36</v>
      </c>
      <c r="I235" s="20">
        <v>39.49</v>
      </c>
      <c r="J235" s="20">
        <v>924.74</v>
      </c>
      <c r="K235" s="32">
        <v>924236.3899999999</v>
      </c>
      <c r="L235" s="2"/>
    </row>
    <row r="236" spans="1:12" x14ac:dyDescent="0.25">
      <c r="A236" s="58">
        <v>46032</v>
      </c>
      <c r="B236" s="18">
        <v>0.375</v>
      </c>
      <c r="C236" s="20">
        <v>6.26</v>
      </c>
      <c r="D236" s="20">
        <v>71.44</v>
      </c>
      <c r="E236" s="20">
        <v>1.93</v>
      </c>
      <c r="F236" s="20">
        <v>10.01</v>
      </c>
      <c r="G236" s="20">
        <v>17.350000000000001</v>
      </c>
      <c r="H236" s="20">
        <v>14.35</v>
      </c>
      <c r="I236" s="20">
        <v>39.31</v>
      </c>
      <c r="J236" s="20">
        <v>924.66</v>
      </c>
      <c r="K236" s="32">
        <v>931755.77</v>
      </c>
      <c r="L236" s="2"/>
    </row>
    <row r="237" spans="1:12" x14ac:dyDescent="0.25">
      <c r="A237" s="58">
        <v>46032</v>
      </c>
      <c r="B237" s="18">
        <v>0.41666666666666669</v>
      </c>
      <c r="C237" s="20">
        <v>5.89</v>
      </c>
      <c r="D237" s="20">
        <v>71.84</v>
      </c>
      <c r="E237" s="20">
        <v>1.89</v>
      </c>
      <c r="F237" s="20">
        <v>10.14</v>
      </c>
      <c r="G237" s="20">
        <v>17.37</v>
      </c>
      <c r="H237" s="20">
        <v>14.37</v>
      </c>
      <c r="I237" s="20">
        <v>39.74</v>
      </c>
      <c r="J237" s="20">
        <v>925.07</v>
      </c>
      <c r="K237" s="32">
        <v>933398.17999999993</v>
      </c>
      <c r="L237" s="2"/>
    </row>
    <row r="238" spans="1:12" x14ac:dyDescent="0.25">
      <c r="A238" s="58">
        <v>46032</v>
      </c>
      <c r="B238" s="18">
        <v>0.45833333333333331</v>
      </c>
      <c r="C238" s="20">
        <v>6.63</v>
      </c>
      <c r="D238" s="20">
        <v>72.13</v>
      </c>
      <c r="E238" s="20">
        <v>2.15</v>
      </c>
      <c r="F238" s="20">
        <v>9.65</v>
      </c>
      <c r="G238" s="20">
        <v>17.38</v>
      </c>
      <c r="H238" s="20">
        <v>14.39</v>
      </c>
      <c r="I238" s="20">
        <v>40.06</v>
      </c>
      <c r="J238" s="20">
        <v>924.45</v>
      </c>
      <c r="K238" s="32">
        <v>929339.91999999993</v>
      </c>
      <c r="L238" s="2"/>
    </row>
    <row r="239" spans="1:12" x14ac:dyDescent="0.25">
      <c r="A239" s="58">
        <v>46032</v>
      </c>
      <c r="B239" s="18">
        <v>0.5</v>
      </c>
      <c r="C239" s="20">
        <v>4.82</v>
      </c>
      <c r="D239" s="20">
        <v>71.739999999999995</v>
      </c>
      <c r="E239" s="20">
        <v>2.48</v>
      </c>
      <c r="F239" s="20">
        <v>12.56</v>
      </c>
      <c r="G239" s="20">
        <v>17.36</v>
      </c>
      <c r="H239" s="20">
        <v>14.41</v>
      </c>
      <c r="I239" s="20">
        <v>40.270000000000003</v>
      </c>
      <c r="J239" s="20">
        <v>924.12</v>
      </c>
      <c r="K239" s="32">
        <v>934128.73</v>
      </c>
      <c r="L239" s="2"/>
    </row>
    <row r="240" spans="1:12" x14ac:dyDescent="0.25">
      <c r="A240" s="58">
        <v>46032</v>
      </c>
      <c r="B240" s="18">
        <v>0.54166666666666663</v>
      </c>
      <c r="C240" s="20">
        <v>3.98</v>
      </c>
      <c r="D240" s="20">
        <v>70.97</v>
      </c>
      <c r="E240" s="20">
        <v>2.72</v>
      </c>
      <c r="F240" s="20">
        <v>12.78</v>
      </c>
      <c r="G240" s="20">
        <v>17.350000000000001</v>
      </c>
      <c r="H240" s="20">
        <v>14.44</v>
      </c>
      <c r="I240" s="20">
        <v>40.67</v>
      </c>
      <c r="J240" s="20">
        <v>923.34</v>
      </c>
      <c r="K240" s="32">
        <v>925046.25</v>
      </c>
      <c r="L240" s="2"/>
    </row>
    <row r="241" spans="1:12" x14ac:dyDescent="0.25">
      <c r="A241" s="58">
        <v>46032</v>
      </c>
      <c r="B241" s="18">
        <v>0.58333333333333337</v>
      </c>
      <c r="C241" s="20">
        <v>4.63</v>
      </c>
      <c r="D241" s="20">
        <v>71.28</v>
      </c>
      <c r="E241" s="20">
        <v>2.8</v>
      </c>
      <c r="F241" s="20">
        <v>13.17</v>
      </c>
      <c r="G241" s="20">
        <v>17.350000000000001</v>
      </c>
      <c r="H241" s="20">
        <v>14.44</v>
      </c>
      <c r="I241" s="20">
        <v>40.65</v>
      </c>
      <c r="J241" s="20">
        <v>923.37</v>
      </c>
      <c r="K241" s="32">
        <v>916782.54</v>
      </c>
      <c r="L241" s="2"/>
    </row>
    <row r="242" spans="1:12" x14ac:dyDescent="0.25">
      <c r="A242" s="58">
        <v>46032</v>
      </c>
      <c r="B242" s="18">
        <v>0.625</v>
      </c>
      <c r="C242" s="20">
        <v>4.5199999999999996</v>
      </c>
      <c r="D242" s="20">
        <v>71.38</v>
      </c>
      <c r="E242" s="20">
        <v>1.93</v>
      </c>
      <c r="F242" s="20">
        <v>16.010000000000002</v>
      </c>
      <c r="G242" s="20">
        <v>17.36</v>
      </c>
      <c r="H242" s="20">
        <v>14.43</v>
      </c>
      <c r="I242" s="20">
        <v>40.520000000000003</v>
      </c>
      <c r="J242" s="20">
        <v>923.56</v>
      </c>
      <c r="K242" s="32">
        <v>927644.45</v>
      </c>
      <c r="L242" s="2"/>
    </row>
    <row r="243" spans="1:12" x14ac:dyDescent="0.25">
      <c r="A243" s="58">
        <v>46032</v>
      </c>
      <c r="B243" s="18">
        <v>0.66666666666666663</v>
      </c>
      <c r="C243" s="20">
        <v>6.15</v>
      </c>
      <c r="D243" s="20">
        <v>71.459999999999994</v>
      </c>
      <c r="E243" s="20">
        <v>1.0900000000000001</v>
      </c>
      <c r="F243" s="20">
        <v>14.62</v>
      </c>
      <c r="G243" s="20">
        <v>17.37</v>
      </c>
      <c r="H243" s="20">
        <v>14.44</v>
      </c>
      <c r="I243" s="20">
        <v>40.590000000000003</v>
      </c>
      <c r="J243" s="20">
        <v>923.19</v>
      </c>
      <c r="K243" s="32">
        <v>927219.08000000007</v>
      </c>
      <c r="L243" s="2"/>
    </row>
    <row r="244" spans="1:12" x14ac:dyDescent="0.25">
      <c r="A244" s="58">
        <v>46032</v>
      </c>
      <c r="B244" s="18">
        <v>0.70833333333333337</v>
      </c>
      <c r="C244" s="20">
        <v>5.34</v>
      </c>
      <c r="D244" s="20">
        <v>70.45</v>
      </c>
      <c r="E244" s="20">
        <v>1.64</v>
      </c>
      <c r="F244" s="20">
        <v>15.85</v>
      </c>
      <c r="G244" s="20">
        <v>17.37</v>
      </c>
      <c r="H244" s="20">
        <v>14.46</v>
      </c>
      <c r="I244" s="20">
        <v>40.94</v>
      </c>
      <c r="J244" s="20">
        <v>922.99</v>
      </c>
      <c r="K244" s="32">
        <v>944751.37000000011</v>
      </c>
      <c r="L244" s="2"/>
    </row>
    <row r="245" spans="1:12" x14ac:dyDescent="0.25">
      <c r="A245" s="58">
        <v>46032</v>
      </c>
      <c r="B245" s="18">
        <v>0.75</v>
      </c>
      <c r="C245" s="20">
        <v>6.01</v>
      </c>
      <c r="D245" s="20">
        <v>70.260000000000005</v>
      </c>
      <c r="E245" s="20">
        <v>2.04</v>
      </c>
      <c r="F245" s="20">
        <v>15.14</v>
      </c>
      <c r="G245" s="20">
        <v>17.41</v>
      </c>
      <c r="H245" s="20">
        <v>14.42</v>
      </c>
      <c r="I245" s="20">
        <v>40.369999999999997</v>
      </c>
      <c r="J245" s="20">
        <v>923.49</v>
      </c>
      <c r="K245" s="32">
        <v>960330.3600000001</v>
      </c>
      <c r="L245" s="2"/>
    </row>
    <row r="246" spans="1:12" x14ac:dyDescent="0.25">
      <c r="A246" s="58">
        <v>46032</v>
      </c>
      <c r="B246" s="18">
        <v>0.79166666666666663</v>
      </c>
      <c r="C246" s="20">
        <v>5.96</v>
      </c>
      <c r="D246" s="20">
        <v>71.61</v>
      </c>
      <c r="E246" s="20">
        <v>2.65</v>
      </c>
      <c r="F246" s="20">
        <v>8.23</v>
      </c>
      <c r="G246" s="20">
        <v>17.41</v>
      </c>
      <c r="H246" s="20">
        <v>14.41</v>
      </c>
      <c r="I246" s="20">
        <v>40.020000000000003</v>
      </c>
      <c r="J246" s="20">
        <v>923.28</v>
      </c>
      <c r="K246" s="32">
        <v>976572.95</v>
      </c>
      <c r="L246" s="2"/>
    </row>
    <row r="247" spans="1:12" x14ac:dyDescent="0.25">
      <c r="A247" s="58">
        <v>46032</v>
      </c>
      <c r="B247" s="18">
        <v>0.83333333333333337</v>
      </c>
      <c r="C247" s="20">
        <v>5.84</v>
      </c>
      <c r="D247" s="20">
        <v>70.52</v>
      </c>
      <c r="E247" s="20">
        <v>2.3199999999999998</v>
      </c>
      <c r="F247" s="20">
        <v>7.01</v>
      </c>
      <c r="G247" s="20">
        <v>17.399999999999999</v>
      </c>
      <c r="H247" s="20">
        <v>14.4</v>
      </c>
      <c r="I247" s="20">
        <v>39.840000000000003</v>
      </c>
      <c r="J247" s="20">
        <v>923.16</v>
      </c>
      <c r="K247" s="32">
        <v>971477.42999999993</v>
      </c>
      <c r="L247" s="2"/>
    </row>
    <row r="248" spans="1:12" x14ac:dyDescent="0.25">
      <c r="A248" s="58">
        <v>46032</v>
      </c>
      <c r="B248" s="18">
        <v>0.875</v>
      </c>
      <c r="C248" s="20">
        <v>6.3</v>
      </c>
      <c r="D248" s="20">
        <v>72.13</v>
      </c>
      <c r="E248" s="20">
        <v>2.25</v>
      </c>
      <c r="F248" s="20">
        <v>7.09</v>
      </c>
      <c r="G248" s="20">
        <v>17.399999999999999</v>
      </c>
      <c r="H248" s="20">
        <v>14.39</v>
      </c>
      <c r="I248" s="20">
        <v>39.729999999999997</v>
      </c>
      <c r="J248" s="20">
        <v>923.6</v>
      </c>
      <c r="K248" s="32">
        <v>976164.78</v>
      </c>
      <c r="L248" s="2"/>
    </row>
    <row r="249" spans="1:12" x14ac:dyDescent="0.25">
      <c r="A249" s="58">
        <v>46032</v>
      </c>
      <c r="B249" s="18">
        <v>0.91666666666666663</v>
      </c>
      <c r="C249" s="20">
        <v>7.44</v>
      </c>
      <c r="D249" s="20">
        <v>72.12</v>
      </c>
      <c r="E249" s="20">
        <v>2.11</v>
      </c>
      <c r="F249" s="20">
        <v>5.71</v>
      </c>
      <c r="G249" s="20">
        <v>17.39</v>
      </c>
      <c r="H249" s="20">
        <v>14.37</v>
      </c>
      <c r="I249" s="20">
        <v>39.44</v>
      </c>
      <c r="J249" s="20">
        <v>923.73</v>
      </c>
      <c r="K249" s="32">
        <v>991675.84000000008</v>
      </c>
      <c r="L249" s="2"/>
    </row>
    <row r="250" spans="1:12" ht="15.75" thickBot="1" x14ac:dyDescent="0.3">
      <c r="A250" s="60">
        <v>46032</v>
      </c>
      <c r="B250" s="35">
        <v>0.95833333333333337</v>
      </c>
      <c r="C250" s="24">
        <v>5.49</v>
      </c>
      <c r="D250" s="24">
        <v>70.95</v>
      </c>
      <c r="E250" s="24">
        <v>2.29</v>
      </c>
      <c r="F250" s="24">
        <v>7.1</v>
      </c>
      <c r="G250" s="24">
        <v>17.38</v>
      </c>
      <c r="H250" s="24">
        <v>14.36</v>
      </c>
      <c r="I250" s="24">
        <v>39.29</v>
      </c>
      <c r="J250" s="24">
        <v>924.01</v>
      </c>
      <c r="K250" s="36">
        <v>1009757.3500000001</v>
      </c>
      <c r="L250" s="2"/>
    </row>
    <row r="251" spans="1:12" ht="15.75" thickBot="1" x14ac:dyDescent="0.3">
      <c r="A251" s="26" t="s">
        <v>21</v>
      </c>
      <c r="B251" s="44"/>
      <c r="C251" s="45">
        <f t="shared" ref="C251:K251" si="9">IFERROR(ROUND(AVERAGE(C227:C250), 2), "")</f>
        <v>5.73</v>
      </c>
      <c r="D251" s="45">
        <f t="shared" si="9"/>
        <v>71.959999999999994</v>
      </c>
      <c r="E251" s="45">
        <f t="shared" si="9"/>
        <v>1.73</v>
      </c>
      <c r="F251" s="45">
        <f t="shared" si="9"/>
        <v>9.0500000000000007</v>
      </c>
      <c r="G251" s="45">
        <f t="shared" si="9"/>
        <v>17.36</v>
      </c>
      <c r="H251" s="45">
        <f t="shared" si="9"/>
        <v>14.39</v>
      </c>
      <c r="I251" s="45">
        <f t="shared" si="9"/>
        <v>39.99</v>
      </c>
      <c r="J251" s="45">
        <f t="shared" si="9"/>
        <v>924.31</v>
      </c>
      <c r="K251" s="46">
        <f t="shared" si="9"/>
        <v>935704.89</v>
      </c>
      <c r="L251" s="7"/>
    </row>
    <row r="252" spans="1:12" x14ac:dyDescent="0.25">
      <c r="A252" s="57">
        <v>46033</v>
      </c>
      <c r="B252" s="14">
        <v>0</v>
      </c>
      <c r="C252" s="16">
        <v>6.21</v>
      </c>
      <c r="D252" s="16">
        <v>71.849999999999994</v>
      </c>
      <c r="E252" s="16">
        <v>2.11</v>
      </c>
      <c r="F252" s="16">
        <v>5.7</v>
      </c>
      <c r="G252" s="16">
        <v>17.399999999999999</v>
      </c>
      <c r="H252" s="16">
        <v>14.33</v>
      </c>
      <c r="I252" s="16">
        <v>38.85</v>
      </c>
      <c r="J252" s="16">
        <v>924.65</v>
      </c>
      <c r="K252" s="31">
        <v>1023622.56</v>
      </c>
      <c r="L252" s="2"/>
    </row>
    <row r="253" spans="1:12" x14ac:dyDescent="0.25">
      <c r="A253" s="58">
        <v>46033</v>
      </c>
      <c r="B253" s="18">
        <v>4.1666666666666664E-2</v>
      </c>
      <c r="C253" s="20">
        <v>5.66</v>
      </c>
      <c r="D253" s="20">
        <v>71.900000000000006</v>
      </c>
      <c r="E253" s="20">
        <v>2.21</v>
      </c>
      <c r="F253" s="20">
        <v>4.9800000000000004</v>
      </c>
      <c r="G253" s="20">
        <v>17.38</v>
      </c>
      <c r="H253" s="20">
        <v>14.29</v>
      </c>
      <c r="I253" s="20">
        <v>38.03</v>
      </c>
      <c r="J253" s="20">
        <v>925.07</v>
      </c>
      <c r="K253" s="32">
        <v>1015986.69</v>
      </c>
      <c r="L253" s="2"/>
    </row>
    <row r="254" spans="1:12" x14ac:dyDescent="0.25">
      <c r="A254" s="58">
        <v>46033</v>
      </c>
      <c r="B254" s="18">
        <v>8.3333333333333329E-2</v>
      </c>
      <c r="C254" s="20">
        <v>5.37</v>
      </c>
      <c r="D254" s="20">
        <v>73</v>
      </c>
      <c r="E254" s="20">
        <v>2.56</v>
      </c>
      <c r="F254" s="20">
        <v>3.88</v>
      </c>
      <c r="G254" s="20">
        <v>17.36</v>
      </c>
      <c r="H254" s="20">
        <v>14.25</v>
      </c>
      <c r="I254" s="20">
        <v>37.58</v>
      </c>
      <c r="J254" s="20">
        <v>926.13</v>
      </c>
      <c r="K254" s="32">
        <v>1023158.26</v>
      </c>
      <c r="L254" s="2"/>
    </row>
    <row r="255" spans="1:12" x14ac:dyDescent="0.25">
      <c r="A255" s="58">
        <v>46033</v>
      </c>
      <c r="B255" s="18">
        <v>0.125</v>
      </c>
      <c r="C255" s="20">
        <v>7.56</v>
      </c>
      <c r="D255" s="20">
        <v>73.400000000000006</v>
      </c>
      <c r="E255" s="20">
        <v>2.81</v>
      </c>
      <c r="F255" s="20">
        <v>3.83</v>
      </c>
      <c r="G255" s="20">
        <v>17.420000000000002</v>
      </c>
      <c r="H255" s="20">
        <v>14.2</v>
      </c>
      <c r="I255" s="20">
        <v>36.92</v>
      </c>
      <c r="J255" s="20">
        <v>927.37</v>
      </c>
      <c r="K255" s="32">
        <v>993853.28</v>
      </c>
      <c r="L255" s="2"/>
    </row>
    <row r="256" spans="1:12" x14ac:dyDescent="0.25">
      <c r="A256" s="58">
        <v>46033</v>
      </c>
      <c r="B256" s="18">
        <v>0.16666666666666666</v>
      </c>
      <c r="C256" s="20">
        <v>6.42</v>
      </c>
      <c r="D256" s="20">
        <v>74.63</v>
      </c>
      <c r="E256" s="20">
        <v>2.56</v>
      </c>
      <c r="F256" s="20">
        <v>1.63</v>
      </c>
      <c r="G256" s="20">
        <v>17.420000000000002</v>
      </c>
      <c r="H256" s="20">
        <v>14.17</v>
      </c>
      <c r="I256" s="20">
        <v>36.39</v>
      </c>
      <c r="J256" s="20">
        <v>928.16</v>
      </c>
      <c r="K256" s="32">
        <v>1004191.4299999999</v>
      </c>
      <c r="L256" s="2"/>
    </row>
    <row r="257" spans="1:12" x14ac:dyDescent="0.25">
      <c r="A257" s="58">
        <v>46033</v>
      </c>
      <c r="B257" s="18">
        <v>0.20833333333333334</v>
      </c>
      <c r="C257" s="20">
        <v>5.9</v>
      </c>
      <c r="D257" s="20">
        <v>75.400000000000006</v>
      </c>
      <c r="E257" s="20">
        <v>2.46</v>
      </c>
      <c r="F257" s="20">
        <v>0.98</v>
      </c>
      <c r="G257" s="20">
        <v>17.45</v>
      </c>
      <c r="H257" s="20">
        <v>14.12</v>
      </c>
      <c r="I257" s="20">
        <v>35.76</v>
      </c>
      <c r="J257" s="20">
        <v>929.03</v>
      </c>
      <c r="K257" s="32">
        <v>1016194.8200000001</v>
      </c>
      <c r="L257" s="2"/>
    </row>
    <row r="258" spans="1:12" x14ac:dyDescent="0.25">
      <c r="A258" s="58">
        <v>46033</v>
      </c>
      <c r="B258" s="18">
        <v>0.25</v>
      </c>
      <c r="C258" s="20">
        <v>5.31</v>
      </c>
      <c r="D258" s="20">
        <v>74.98</v>
      </c>
      <c r="E258" s="20">
        <v>2.09</v>
      </c>
      <c r="F258" s="20">
        <v>1.03</v>
      </c>
      <c r="G258" s="20">
        <v>17.46</v>
      </c>
      <c r="H258" s="20">
        <v>14.09</v>
      </c>
      <c r="I258" s="20">
        <v>35.4</v>
      </c>
      <c r="J258" s="20">
        <v>929.87</v>
      </c>
      <c r="K258" s="32">
        <v>1025137.97</v>
      </c>
      <c r="L258" s="2"/>
    </row>
    <row r="259" spans="1:12" x14ac:dyDescent="0.25">
      <c r="A259" s="58">
        <v>46033</v>
      </c>
      <c r="B259" s="18">
        <v>0.29166666666666669</v>
      </c>
      <c r="C259" s="20">
        <v>5.36</v>
      </c>
      <c r="D259" s="20">
        <v>74.67</v>
      </c>
      <c r="E259" s="20">
        <v>1.81</v>
      </c>
      <c r="F259" s="20">
        <v>1</v>
      </c>
      <c r="G259" s="20">
        <v>17.47</v>
      </c>
      <c r="H259" s="20">
        <v>14.06</v>
      </c>
      <c r="I259" s="20">
        <v>34.96</v>
      </c>
      <c r="J259" s="20">
        <v>930.94</v>
      </c>
      <c r="K259" s="32">
        <v>1002851.53</v>
      </c>
      <c r="L259" s="2"/>
    </row>
    <row r="260" spans="1:12" x14ac:dyDescent="0.25">
      <c r="A260" s="58">
        <v>46033</v>
      </c>
      <c r="B260" s="18">
        <v>0.33333333333333331</v>
      </c>
      <c r="C260" s="20">
        <v>6.57</v>
      </c>
      <c r="D260" s="20">
        <v>74.849999999999994</v>
      </c>
      <c r="E260" s="20">
        <v>2.4500000000000002</v>
      </c>
      <c r="F260" s="20">
        <v>0.92</v>
      </c>
      <c r="G260" s="20">
        <v>17.5</v>
      </c>
      <c r="H260" s="20">
        <v>14.02</v>
      </c>
      <c r="I260" s="20">
        <v>34.56</v>
      </c>
      <c r="J260" s="20">
        <v>932.14</v>
      </c>
      <c r="K260" s="32">
        <v>1005245.51</v>
      </c>
      <c r="L260" s="2"/>
    </row>
    <row r="261" spans="1:12" x14ac:dyDescent="0.25">
      <c r="A261" s="58">
        <v>46033</v>
      </c>
      <c r="B261" s="18">
        <v>0.375</v>
      </c>
      <c r="C261" s="20">
        <v>7.16</v>
      </c>
      <c r="D261" s="20">
        <v>74.8</v>
      </c>
      <c r="E261" s="20">
        <v>2.7</v>
      </c>
      <c r="F261" s="20">
        <v>0.56999999999999995</v>
      </c>
      <c r="G261" s="20">
        <v>17.489999999999998</v>
      </c>
      <c r="H261" s="20">
        <v>13.99</v>
      </c>
      <c r="I261" s="20">
        <v>34.200000000000003</v>
      </c>
      <c r="J261" s="20">
        <v>933.16</v>
      </c>
      <c r="K261" s="32">
        <v>1010928.22</v>
      </c>
      <c r="L261" s="2"/>
    </row>
    <row r="262" spans="1:12" x14ac:dyDescent="0.25">
      <c r="A262" s="58">
        <v>46033</v>
      </c>
      <c r="B262" s="18">
        <v>0.41666666666666669</v>
      </c>
      <c r="C262" s="20">
        <v>6.85</v>
      </c>
      <c r="D262" s="20">
        <v>74.989999999999995</v>
      </c>
      <c r="E262" s="20">
        <v>2.2999999999999998</v>
      </c>
      <c r="F262" s="20">
        <v>0.4</v>
      </c>
      <c r="G262" s="20">
        <v>17.48</v>
      </c>
      <c r="H262" s="20">
        <v>13.97</v>
      </c>
      <c r="I262" s="20">
        <v>34.130000000000003</v>
      </c>
      <c r="J262" s="20">
        <v>934.21</v>
      </c>
      <c r="K262" s="32">
        <v>1009168.77</v>
      </c>
      <c r="L262" s="2"/>
    </row>
    <row r="263" spans="1:12" x14ac:dyDescent="0.25">
      <c r="A263" s="58">
        <v>46033</v>
      </c>
      <c r="B263" s="18">
        <v>0.45833333333333331</v>
      </c>
      <c r="C263" s="20">
        <v>6.32</v>
      </c>
      <c r="D263" s="20">
        <v>73.77</v>
      </c>
      <c r="E263" s="20">
        <v>2.1800000000000002</v>
      </c>
      <c r="F263" s="20">
        <v>0.19</v>
      </c>
      <c r="G263" s="20">
        <v>17.46</v>
      </c>
      <c r="H263" s="20">
        <v>13.96</v>
      </c>
      <c r="I263" s="20">
        <v>34.19</v>
      </c>
      <c r="J263" s="20">
        <v>934.76</v>
      </c>
      <c r="K263" s="32">
        <v>982678.44</v>
      </c>
      <c r="L263" s="2"/>
    </row>
    <row r="264" spans="1:12" x14ac:dyDescent="0.25">
      <c r="A264" s="58">
        <v>46033</v>
      </c>
      <c r="B264" s="18">
        <v>0.5</v>
      </c>
      <c r="C264" s="20">
        <v>6.23</v>
      </c>
      <c r="D264" s="20">
        <v>73.38</v>
      </c>
      <c r="E264" s="20">
        <v>1.88</v>
      </c>
      <c r="F264" s="20">
        <v>0.28999999999999998</v>
      </c>
      <c r="G264" s="20">
        <v>17.45</v>
      </c>
      <c r="H264" s="20">
        <v>13.96</v>
      </c>
      <c r="I264" s="20">
        <v>34.24</v>
      </c>
      <c r="J264" s="20">
        <v>934.82</v>
      </c>
      <c r="K264" s="32">
        <v>991691.94</v>
      </c>
      <c r="L264" s="2"/>
    </row>
    <row r="265" spans="1:12" x14ac:dyDescent="0.25">
      <c r="A265" s="58">
        <v>46033</v>
      </c>
      <c r="B265" s="18">
        <v>0.54166666666666663</v>
      </c>
      <c r="C265" s="20">
        <v>6.64</v>
      </c>
      <c r="D265" s="20">
        <v>73.53</v>
      </c>
      <c r="E265" s="20">
        <v>2.59</v>
      </c>
      <c r="F265" s="20">
        <v>0.09</v>
      </c>
      <c r="G265" s="20">
        <v>17.45</v>
      </c>
      <c r="H265" s="20">
        <v>13.96</v>
      </c>
      <c r="I265" s="20">
        <v>34.33</v>
      </c>
      <c r="J265" s="20">
        <v>935.17</v>
      </c>
      <c r="K265" s="32">
        <v>982658.33000000007</v>
      </c>
      <c r="L265" s="2"/>
    </row>
    <row r="266" spans="1:12" x14ac:dyDescent="0.25">
      <c r="A266" s="58">
        <v>46033</v>
      </c>
      <c r="B266" s="18">
        <v>0.58333333333333337</v>
      </c>
      <c r="C266" s="20">
        <v>6.84</v>
      </c>
      <c r="D266" s="20">
        <v>73.180000000000007</v>
      </c>
      <c r="E266" s="20">
        <v>2.04</v>
      </c>
      <c r="F266" s="20">
        <v>0.14000000000000001</v>
      </c>
      <c r="G266" s="20">
        <v>17.420000000000002</v>
      </c>
      <c r="H266" s="20">
        <v>13.96</v>
      </c>
      <c r="I266" s="20">
        <v>34.479999999999997</v>
      </c>
      <c r="J266" s="20">
        <v>935.49</v>
      </c>
      <c r="K266" s="32">
        <v>969049.94</v>
      </c>
      <c r="L266" s="2"/>
    </row>
    <row r="267" spans="1:12" x14ac:dyDescent="0.25">
      <c r="A267" s="58">
        <v>46033</v>
      </c>
      <c r="B267" s="18">
        <v>0.625</v>
      </c>
      <c r="C267" s="20">
        <v>6.42</v>
      </c>
      <c r="D267" s="20">
        <v>73.02</v>
      </c>
      <c r="E267" s="20">
        <v>2.02</v>
      </c>
      <c r="F267" s="20">
        <v>0.24</v>
      </c>
      <c r="G267" s="20">
        <v>17.420000000000002</v>
      </c>
      <c r="H267" s="20">
        <v>13.96</v>
      </c>
      <c r="I267" s="20">
        <v>34.58</v>
      </c>
      <c r="J267" s="20">
        <v>936.05</v>
      </c>
      <c r="K267" s="32">
        <v>972619.12000000011</v>
      </c>
      <c r="L267" s="2"/>
    </row>
    <row r="268" spans="1:12" x14ac:dyDescent="0.25">
      <c r="A268" s="58">
        <v>46033</v>
      </c>
      <c r="B268" s="18">
        <v>0.66666666666666663</v>
      </c>
      <c r="C268" s="20">
        <v>5.79</v>
      </c>
      <c r="D268" s="20">
        <v>73.150000000000006</v>
      </c>
      <c r="E268" s="20">
        <v>2.29</v>
      </c>
      <c r="F268" s="20">
        <v>0.25</v>
      </c>
      <c r="G268" s="20">
        <v>17.420000000000002</v>
      </c>
      <c r="H268" s="20">
        <v>13.94</v>
      </c>
      <c r="I268" s="20">
        <v>34.39</v>
      </c>
      <c r="J268" s="20">
        <v>936.65</v>
      </c>
      <c r="K268" s="32">
        <v>984884.03</v>
      </c>
      <c r="L268" s="2"/>
    </row>
    <row r="269" spans="1:12" x14ac:dyDescent="0.25">
      <c r="A269" s="58">
        <v>46033</v>
      </c>
      <c r="B269" s="18">
        <v>0.70833333333333337</v>
      </c>
      <c r="C269" s="20">
        <v>5.98</v>
      </c>
      <c r="D269" s="20">
        <v>73.16</v>
      </c>
      <c r="E269" s="20">
        <v>2</v>
      </c>
      <c r="F269" s="20">
        <v>0.19</v>
      </c>
      <c r="G269" s="20">
        <v>17.48</v>
      </c>
      <c r="H269" s="20">
        <v>13.92</v>
      </c>
      <c r="I269" s="20">
        <v>34.090000000000003</v>
      </c>
      <c r="J269" s="20">
        <v>937.33</v>
      </c>
      <c r="K269" s="32">
        <v>990853.35000000009</v>
      </c>
      <c r="L269" s="2"/>
    </row>
    <row r="270" spans="1:12" x14ac:dyDescent="0.25">
      <c r="A270" s="58">
        <v>46033</v>
      </c>
      <c r="B270" s="18">
        <v>0.75</v>
      </c>
      <c r="C270" s="20">
        <v>5.65</v>
      </c>
      <c r="D270" s="20">
        <v>74.09</v>
      </c>
      <c r="E270" s="20">
        <v>1.78</v>
      </c>
      <c r="F270" s="20">
        <v>0.13</v>
      </c>
      <c r="G270" s="20">
        <v>17.46</v>
      </c>
      <c r="H270" s="20">
        <v>13.91</v>
      </c>
      <c r="I270" s="20">
        <v>34.15</v>
      </c>
      <c r="J270" s="20">
        <v>937.99</v>
      </c>
      <c r="K270" s="32">
        <v>987761.96</v>
      </c>
      <c r="L270" s="2"/>
    </row>
    <row r="271" spans="1:12" x14ac:dyDescent="0.25">
      <c r="A271" s="58">
        <v>46033</v>
      </c>
      <c r="B271" s="18">
        <v>0.79166666666666663</v>
      </c>
      <c r="C271" s="20">
        <v>5.86</v>
      </c>
      <c r="D271" s="20">
        <v>74.760000000000005</v>
      </c>
      <c r="E271" s="20">
        <v>1.7</v>
      </c>
      <c r="F271" s="20">
        <v>0.25</v>
      </c>
      <c r="G271" s="20">
        <v>17.46</v>
      </c>
      <c r="H271" s="20">
        <v>13.91</v>
      </c>
      <c r="I271" s="20">
        <v>34.29</v>
      </c>
      <c r="J271" s="20">
        <v>938.46</v>
      </c>
      <c r="K271" s="32">
        <v>985341.6399999999</v>
      </c>
      <c r="L271" s="2"/>
    </row>
    <row r="272" spans="1:12" x14ac:dyDescent="0.25">
      <c r="A272" s="58">
        <v>46033</v>
      </c>
      <c r="B272" s="18">
        <v>0.83333333333333337</v>
      </c>
      <c r="C272" s="20">
        <v>6.52</v>
      </c>
      <c r="D272" s="20">
        <v>74.23</v>
      </c>
      <c r="E272" s="20">
        <v>2.46</v>
      </c>
      <c r="F272" s="20">
        <v>0.45</v>
      </c>
      <c r="G272" s="20">
        <v>17.420000000000002</v>
      </c>
      <c r="H272" s="20">
        <v>13.91</v>
      </c>
      <c r="I272" s="20">
        <v>34.36</v>
      </c>
      <c r="J272" s="20">
        <v>939.03</v>
      </c>
      <c r="K272" s="32">
        <v>981483.5</v>
      </c>
      <c r="L272" s="2"/>
    </row>
    <row r="273" spans="1:12" x14ac:dyDescent="0.25">
      <c r="A273" s="58">
        <v>46033</v>
      </c>
      <c r="B273" s="18">
        <v>0.875</v>
      </c>
      <c r="C273" s="20">
        <v>6.03</v>
      </c>
      <c r="D273" s="20">
        <v>74.349999999999994</v>
      </c>
      <c r="E273" s="20">
        <v>2.37</v>
      </c>
      <c r="F273" s="20">
        <v>0.85</v>
      </c>
      <c r="G273" s="20">
        <v>17.420000000000002</v>
      </c>
      <c r="H273" s="20">
        <v>13.89</v>
      </c>
      <c r="I273" s="20">
        <v>34.270000000000003</v>
      </c>
      <c r="J273" s="20">
        <v>939.55</v>
      </c>
      <c r="K273" s="32">
        <v>976659.89999999991</v>
      </c>
      <c r="L273" s="2"/>
    </row>
    <row r="274" spans="1:12" x14ac:dyDescent="0.25">
      <c r="A274" s="58">
        <v>46033</v>
      </c>
      <c r="B274" s="18">
        <v>0.91666666666666663</v>
      </c>
      <c r="C274" s="20">
        <v>7.87</v>
      </c>
      <c r="D274" s="20">
        <v>74.989999999999995</v>
      </c>
      <c r="E274" s="20">
        <v>2.38</v>
      </c>
      <c r="F274" s="20">
        <v>0.63</v>
      </c>
      <c r="G274" s="20">
        <v>17.420000000000002</v>
      </c>
      <c r="H274" s="20">
        <v>13.89</v>
      </c>
      <c r="I274" s="20">
        <v>34.29</v>
      </c>
      <c r="J274" s="20">
        <v>939.82</v>
      </c>
      <c r="K274" s="32">
        <v>980810.83000000007</v>
      </c>
      <c r="L274" s="2"/>
    </row>
    <row r="275" spans="1:12" ht="15.75" thickBot="1" x14ac:dyDescent="0.3">
      <c r="A275" s="60">
        <v>46033</v>
      </c>
      <c r="B275" s="35">
        <v>0.95833333333333337</v>
      </c>
      <c r="C275" s="24">
        <v>7.8</v>
      </c>
      <c r="D275" s="24">
        <v>74.95</v>
      </c>
      <c r="E275" s="24">
        <v>1.95</v>
      </c>
      <c r="F275" s="24">
        <v>0.66</v>
      </c>
      <c r="G275" s="24">
        <v>17.440000000000001</v>
      </c>
      <c r="H275" s="24">
        <v>13.88</v>
      </c>
      <c r="I275" s="24">
        <v>34.07</v>
      </c>
      <c r="J275" s="24">
        <v>940.1</v>
      </c>
      <c r="K275" s="36">
        <v>988858.02</v>
      </c>
      <c r="L275" s="2"/>
    </row>
    <row r="276" spans="1:12" ht="15.75" thickBot="1" x14ac:dyDescent="0.3">
      <c r="A276" s="26" t="s">
        <v>22</v>
      </c>
      <c r="B276" s="44"/>
      <c r="C276" s="45">
        <f t="shared" ref="C276:K276" si="10">IFERROR(ROUND(AVERAGE(C252:C275), 2), "")</f>
        <v>6.35</v>
      </c>
      <c r="D276" s="45">
        <f t="shared" si="10"/>
        <v>73.959999999999994</v>
      </c>
      <c r="E276" s="45">
        <f t="shared" si="10"/>
        <v>2.2400000000000002</v>
      </c>
      <c r="F276" s="45">
        <f t="shared" si="10"/>
        <v>1.22</v>
      </c>
      <c r="G276" s="45">
        <f t="shared" si="10"/>
        <v>17.440000000000001</v>
      </c>
      <c r="H276" s="45">
        <f t="shared" si="10"/>
        <v>14.02</v>
      </c>
      <c r="I276" s="45">
        <f t="shared" si="10"/>
        <v>35.1</v>
      </c>
      <c r="J276" s="45">
        <f t="shared" si="10"/>
        <v>933.58</v>
      </c>
      <c r="K276" s="46">
        <f t="shared" si="10"/>
        <v>996070.42</v>
      </c>
      <c r="L276" s="7"/>
    </row>
    <row r="277" spans="1:12" x14ac:dyDescent="0.25">
      <c r="A277" s="57">
        <v>46034</v>
      </c>
      <c r="B277" s="14">
        <v>0</v>
      </c>
      <c r="C277" s="15">
        <v>6.45</v>
      </c>
      <c r="D277" s="16">
        <v>74.02</v>
      </c>
      <c r="E277" s="15">
        <v>2.42</v>
      </c>
      <c r="F277" s="15">
        <v>0.36</v>
      </c>
      <c r="G277" s="16">
        <v>17.43</v>
      </c>
      <c r="H277" s="16">
        <v>13.87</v>
      </c>
      <c r="I277" s="16">
        <v>33.92</v>
      </c>
      <c r="J277" s="16">
        <v>940.25</v>
      </c>
      <c r="K277" s="31">
        <v>986440.84000000008</v>
      </c>
      <c r="L277" s="2"/>
    </row>
    <row r="278" spans="1:12" x14ac:dyDescent="0.25">
      <c r="A278" s="58">
        <v>46034</v>
      </c>
      <c r="B278" s="18">
        <v>4.1666666666666664E-2</v>
      </c>
      <c r="C278" s="19">
        <v>6.7</v>
      </c>
      <c r="D278" s="20">
        <v>75.11</v>
      </c>
      <c r="E278" s="19">
        <v>2.64</v>
      </c>
      <c r="F278" s="19">
        <v>0.13</v>
      </c>
      <c r="G278" s="20">
        <v>17.41</v>
      </c>
      <c r="H278" s="20">
        <v>13.87</v>
      </c>
      <c r="I278" s="20">
        <v>33.93</v>
      </c>
      <c r="J278" s="20">
        <v>940.28</v>
      </c>
      <c r="K278" s="32">
        <v>976706.51</v>
      </c>
      <c r="L278" s="2"/>
    </row>
    <row r="279" spans="1:12" x14ac:dyDescent="0.25">
      <c r="A279" s="58">
        <v>46034</v>
      </c>
      <c r="B279" s="18">
        <v>8.3333333333333329E-2</v>
      </c>
      <c r="C279" s="19">
        <v>6.62</v>
      </c>
      <c r="D279" s="20">
        <v>75.58</v>
      </c>
      <c r="E279" s="19">
        <v>2.61</v>
      </c>
      <c r="F279" s="19">
        <v>0.14000000000000001</v>
      </c>
      <c r="G279" s="20">
        <v>17.440000000000001</v>
      </c>
      <c r="H279" s="20">
        <v>13.85</v>
      </c>
      <c r="I279" s="20">
        <v>33.770000000000003</v>
      </c>
      <c r="J279" s="20">
        <v>940.65</v>
      </c>
      <c r="K279" s="32">
        <v>996468.33000000007</v>
      </c>
      <c r="L279" s="2"/>
    </row>
    <row r="280" spans="1:12" x14ac:dyDescent="0.25">
      <c r="A280" s="58">
        <v>46034</v>
      </c>
      <c r="B280" s="18">
        <v>0.125</v>
      </c>
      <c r="C280" s="19">
        <v>5.94</v>
      </c>
      <c r="D280" s="20">
        <v>75.41</v>
      </c>
      <c r="E280" s="19">
        <v>2.0499999999999998</v>
      </c>
      <c r="F280" s="19">
        <v>7.0000000000000007E-2</v>
      </c>
      <c r="G280" s="20">
        <v>17.440000000000001</v>
      </c>
      <c r="H280" s="20">
        <v>13.87</v>
      </c>
      <c r="I280" s="20">
        <v>34.01</v>
      </c>
      <c r="J280" s="20">
        <v>940.63</v>
      </c>
      <c r="K280" s="32">
        <v>987463.12000000011</v>
      </c>
      <c r="L280" s="2"/>
    </row>
    <row r="281" spans="1:12" x14ac:dyDescent="0.25">
      <c r="A281" s="58">
        <v>46034</v>
      </c>
      <c r="B281" s="18">
        <v>0.16666666666666666</v>
      </c>
      <c r="C281" s="19">
        <v>6.43</v>
      </c>
      <c r="D281" s="20">
        <v>75.510000000000005</v>
      </c>
      <c r="E281" s="19">
        <v>2.56</v>
      </c>
      <c r="F281" s="19">
        <v>0.02</v>
      </c>
      <c r="G281" s="20">
        <v>17.45</v>
      </c>
      <c r="H281" s="20">
        <v>13.85</v>
      </c>
      <c r="I281" s="20">
        <v>33.65</v>
      </c>
      <c r="J281" s="20">
        <v>940.42</v>
      </c>
      <c r="K281" s="32">
        <v>987359.58000000007</v>
      </c>
      <c r="L281" s="2"/>
    </row>
    <row r="282" spans="1:12" x14ac:dyDescent="0.25">
      <c r="A282" s="58">
        <v>46034</v>
      </c>
      <c r="B282" s="18">
        <v>0.20833333333333334</v>
      </c>
      <c r="C282" s="19">
        <v>6.63</v>
      </c>
      <c r="D282" s="20">
        <v>75.569999999999993</v>
      </c>
      <c r="E282" s="19">
        <v>2.75</v>
      </c>
      <c r="F282" s="19">
        <v>0.13</v>
      </c>
      <c r="G282" s="20">
        <v>17.45</v>
      </c>
      <c r="H282" s="20">
        <v>13.83</v>
      </c>
      <c r="I282" s="20">
        <v>33.25</v>
      </c>
      <c r="J282" s="20">
        <v>940.68</v>
      </c>
      <c r="K282" s="32">
        <v>993348.10000000009</v>
      </c>
      <c r="L282" s="2"/>
    </row>
    <row r="283" spans="1:12" x14ac:dyDescent="0.25">
      <c r="A283" s="58">
        <v>46034</v>
      </c>
      <c r="B283" s="18">
        <v>0.25</v>
      </c>
      <c r="C283" s="19">
        <v>7.02</v>
      </c>
      <c r="D283" s="20">
        <v>75.930000000000007</v>
      </c>
      <c r="E283" s="19">
        <v>2.65</v>
      </c>
      <c r="F283" s="19">
        <v>0.1</v>
      </c>
      <c r="G283" s="20">
        <v>17.45</v>
      </c>
      <c r="H283" s="20">
        <v>13.82</v>
      </c>
      <c r="I283" s="20">
        <v>33.06</v>
      </c>
      <c r="J283" s="20">
        <v>940.96</v>
      </c>
      <c r="K283" s="32">
        <v>992236.87999999989</v>
      </c>
      <c r="L283" s="2"/>
    </row>
    <row r="284" spans="1:12" x14ac:dyDescent="0.25">
      <c r="A284" s="58">
        <v>46034</v>
      </c>
      <c r="B284" s="18">
        <v>0.29166666666666669</v>
      </c>
      <c r="C284" s="19">
        <v>6.53</v>
      </c>
      <c r="D284" s="20">
        <v>73.430000000000007</v>
      </c>
      <c r="E284" s="19">
        <v>2.66</v>
      </c>
      <c r="F284" s="19">
        <v>2.16</v>
      </c>
      <c r="G284" s="20">
        <v>17.43</v>
      </c>
      <c r="H284" s="20">
        <v>13.81</v>
      </c>
      <c r="I284" s="20">
        <v>32.94</v>
      </c>
      <c r="J284" s="20">
        <v>941.19</v>
      </c>
      <c r="K284" s="32">
        <v>962072.85000000009</v>
      </c>
      <c r="L284" s="2"/>
    </row>
    <row r="285" spans="1:12" x14ac:dyDescent="0.25">
      <c r="A285" s="58">
        <v>46034</v>
      </c>
      <c r="B285" s="18">
        <v>0.33333333333333331</v>
      </c>
      <c r="C285" s="19">
        <v>7.33</v>
      </c>
      <c r="D285" s="20">
        <v>74.69</v>
      </c>
      <c r="E285" s="19">
        <v>2.79</v>
      </c>
      <c r="F285" s="19">
        <v>0.6</v>
      </c>
      <c r="G285" s="20">
        <v>17.41</v>
      </c>
      <c r="H285" s="20">
        <v>13.8</v>
      </c>
      <c r="I285" s="20">
        <v>32.72</v>
      </c>
      <c r="J285" s="20">
        <v>941.45</v>
      </c>
      <c r="K285" s="32">
        <v>965600.28</v>
      </c>
      <c r="L285" s="2"/>
    </row>
    <row r="286" spans="1:12" x14ac:dyDescent="0.25">
      <c r="A286" s="58">
        <v>46034</v>
      </c>
      <c r="B286" s="18">
        <v>0.375</v>
      </c>
      <c r="C286" s="19">
        <v>6.68</v>
      </c>
      <c r="D286" s="20">
        <v>74.37</v>
      </c>
      <c r="E286" s="19">
        <v>2.42</v>
      </c>
      <c r="F286" s="19">
        <v>0.62</v>
      </c>
      <c r="G286" s="20">
        <v>17.43</v>
      </c>
      <c r="H286" s="20">
        <v>13.79</v>
      </c>
      <c r="I286" s="20">
        <v>32.770000000000003</v>
      </c>
      <c r="J286" s="20">
        <v>941.97</v>
      </c>
      <c r="K286" s="32">
        <v>981064.66999999993</v>
      </c>
      <c r="L286" s="2"/>
    </row>
    <row r="287" spans="1:12" x14ac:dyDescent="0.25">
      <c r="A287" s="58">
        <v>46034</v>
      </c>
      <c r="B287" s="18">
        <v>0.41666666666666669</v>
      </c>
      <c r="C287" s="19">
        <v>7.2</v>
      </c>
      <c r="D287" s="20">
        <v>75</v>
      </c>
      <c r="E287" s="19">
        <v>2.0299999999999998</v>
      </c>
      <c r="F287" s="19">
        <v>0.26</v>
      </c>
      <c r="G287" s="20">
        <v>17.47</v>
      </c>
      <c r="H287" s="20">
        <v>13.78</v>
      </c>
      <c r="I287" s="20">
        <v>32.619999999999997</v>
      </c>
      <c r="J287" s="20">
        <v>942.21</v>
      </c>
      <c r="K287" s="32">
        <v>987746.48</v>
      </c>
      <c r="L287" s="2"/>
    </row>
    <row r="288" spans="1:12" x14ac:dyDescent="0.25">
      <c r="A288" s="58">
        <v>46034</v>
      </c>
      <c r="B288" s="18">
        <v>0.45833333333333331</v>
      </c>
      <c r="C288" s="19">
        <v>7.37</v>
      </c>
      <c r="D288" s="20">
        <v>75.069999999999993</v>
      </c>
      <c r="E288" s="19">
        <v>2.34</v>
      </c>
      <c r="F288" s="19">
        <v>0.3</v>
      </c>
      <c r="G288" s="20">
        <v>17.489999999999998</v>
      </c>
      <c r="H288" s="20">
        <v>13.81</v>
      </c>
      <c r="I288" s="20">
        <v>33.22</v>
      </c>
      <c r="J288" s="20">
        <v>942.1</v>
      </c>
      <c r="K288" s="32">
        <v>990233.1100000001</v>
      </c>
      <c r="L288" s="2"/>
    </row>
    <row r="289" spans="1:12" x14ac:dyDescent="0.25">
      <c r="A289" s="58">
        <v>46034</v>
      </c>
      <c r="B289" s="18">
        <v>0.5</v>
      </c>
      <c r="C289" s="19">
        <v>6.58</v>
      </c>
      <c r="D289" s="20">
        <v>74.97</v>
      </c>
      <c r="E289" s="19">
        <v>2.2200000000000002</v>
      </c>
      <c r="F289" s="19">
        <v>0.28000000000000003</v>
      </c>
      <c r="G289" s="20">
        <v>17.489999999999998</v>
      </c>
      <c r="H289" s="20">
        <v>13.83</v>
      </c>
      <c r="I289" s="20">
        <v>33.72</v>
      </c>
      <c r="J289" s="20">
        <v>941.84</v>
      </c>
      <c r="K289" s="32">
        <v>981779.62000000011</v>
      </c>
      <c r="L289" s="2"/>
    </row>
    <row r="290" spans="1:12" x14ac:dyDescent="0.25">
      <c r="A290" s="58">
        <v>46034</v>
      </c>
      <c r="B290" s="18">
        <v>0.54166666666666663</v>
      </c>
      <c r="C290" s="19">
        <v>7.52</v>
      </c>
      <c r="D290" s="20">
        <v>75.19</v>
      </c>
      <c r="E290" s="19">
        <v>1.66</v>
      </c>
      <c r="F290" s="19">
        <v>0.35</v>
      </c>
      <c r="G290" s="20">
        <v>17.46</v>
      </c>
      <c r="H290" s="20">
        <v>13.87</v>
      </c>
      <c r="I290" s="20">
        <v>34.43</v>
      </c>
      <c r="J290" s="20">
        <v>941.65</v>
      </c>
      <c r="K290" s="32">
        <v>977534.59000000008</v>
      </c>
      <c r="L290" s="2"/>
    </row>
    <row r="291" spans="1:12" x14ac:dyDescent="0.25">
      <c r="A291" s="58">
        <v>46034</v>
      </c>
      <c r="B291" s="18">
        <v>0.58333333333333337</v>
      </c>
      <c r="C291" s="19">
        <v>6.05</v>
      </c>
      <c r="D291" s="20">
        <v>73</v>
      </c>
      <c r="E291" s="19">
        <v>1.54</v>
      </c>
      <c r="F291" s="19">
        <v>0.23</v>
      </c>
      <c r="G291" s="20">
        <v>17.43</v>
      </c>
      <c r="H291" s="20">
        <v>13.89</v>
      </c>
      <c r="I291" s="20">
        <v>34.92</v>
      </c>
      <c r="J291" s="20">
        <v>941.49</v>
      </c>
      <c r="K291" s="32">
        <v>965000.6399999999</v>
      </c>
      <c r="L291" s="2"/>
    </row>
    <row r="292" spans="1:12" x14ac:dyDescent="0.25">
      <c r="A292" s="58">
        <v>46034</v>
      </c>
      <c r="B292" s="18">
        <v>0.625</v>
      </c>
      <c r="C292" s="19">
        <v>6.95</v>
      </c>
      <c r="D292" s="20">
        <v>72.78</v>
      </c>
      <c r="E292" s="19">
        <v>1.67</v>
      </c>
      <c r="F292" s="19">
        <v>0.9</v>
      </c>
      <c r="G292" s="20">
        <v>17.43</v>
      </c>
      <c r="H292" s="20">
        <v>13.9</v>
      </c>
      <c r="I292" s="20">
        <v>35.130000000000003</v>
      </c>
      <c r="J292" s="20">
        <v>941.69</v>
      </c>
      <c r="K292" s="32">
        <v>958916.35000000009</v>
      </c>
      <c r="L292" s="2"/>
    </row>
    <row r="293" spans="1:12" x14ac:dyDescent="0.25">
      <c r="A293" s="58">
        <v>46034</v>
      </c>
      <c r="B293" s="18">
        <v>0.66666666666666663</v>
      </c>
      <c r="C293" s="19">
        <v>7.38</v>
      </c>
      <c r="D293" s="20">
        <v>72.37</v>
      </c>
      <c r="E293" s="19">
        <v>1.7</v>
      </c>
      <c r="F293" s="19">
        <v>0.74</v>
      </c>
      <c r="G293" s="20">
        <v>17.43</v>
      </c>
      <c r="H293" s="20">
        <v>13.89</v>
      </c>
      <c r="I293" s="20">
        <v>35.07</v>
      </c>
      <c r="J293" s="20">
        <v>941.99</v>
      </c>
      <c r="K293" s="32">
        <v>963764.27</v>
      </c>
      <c r="L293" s="2"/>
    </row>
    <row r="294" spans="1:12" x14ac:dyDescent="0.25">
      <c r="A294" s="58">
        <v>46034</v>
      </c>
      <c r="B294" s="18">
        <v>0.70833333333333337</v>
      </c>
      <c r="C294" s="19">
        <v>7.24</v>
      </c>
      <c r="D294" s="20">
        <v>71.98</v>
      </c>
      <c r="E294" s="19">
        <v>1.47</v>
      </c>
      <c r="F294" s="19">
        <v>0.83</v>
      </c>
      <c r="G294" s="20">
        <v>17.43</v>
      </c>
      <c r="H294" s="20">
        <v>13.87</v>
      </c>
      <c r="I294" s="20">
        <v>34.64</v>
      </c>
      <c r="J294" s="20">
        <v>942.32</v>
      </c>
      <c r="K294" s="32">
        <v>957503.78</v>
      </c>
      <c r="L294" s="2"/>
    </row>
    <row r="295" spans="1:12" x14ac:dyDescent="0.25">
      <c r="A295" s="58">
        <v>46034</v>
      </c>
      <c r="B295" s="18">
        <v>0.75</v>
      </c>
      <c r="C295" s="19">
        <v>6.76</v>
      </c>
      <c r="D295" s="20">
        <v>72.040000000000006</v>
      </c>
      <c r="E295" s="19">
        <v>1.47</v>
      </c>
      <c r="F295" s="19">
        <v>0.89</v>
      </c>
      <c r="G295" s="20">
        <v>17.440000000000001</v>
      </c>
      <c r="H295" s="20">
        <v>13.85</v>
      </c>
      <c r="I295" s="20">
        <v>34.340000000000003</v>
      </c>
      <c r="J295" s="20">
        <v>942.61</v>
      </c>
      <c r="K295" s="32">
        <v>965133.77</v>
      </c>
      <c r="L295" s="2"/>
    </row>
    <row r="296" spans="1:12" x14ac:dyDescent="0.25">
      <c r="A296" s="58">
        <v>46034</v>
      </c>
      <c r="B296" s="18">
        <v>0.79166666666666663</v>
      </c>
      <c r="C296" s="19">
        <v>6.87</v>
      </c>
      <c r="D296" s="20">
        <v>72.12</v>
      </c>
      <c r="E296" s="19">
        <v>1.46</v>
      </c>
      <c r="F296" s="19">
        <v>1.21</v>
      </c>
      <c r="G296" s="20">
        <v>17.45</v>
      </c>
      <c r="H296" s="20">
        <v>13.83</v>
      </c>
      <c r="I296" s="20">
        <v>34.01</v>
      </c>
      <c r="J296" s="20">
        <v>943.12</v>
      </c>
      <c r="K296" s="32">
        <v>965489.37999999989</v>
      </c>
      <c r="L296" s="2"/>
    </row>
    <row r="297" spans="1:12" x14ac:dyDescent="0.25">
      <c r="A297" s="58">
        <v>46034</v>
      </c>
      <c r="B297" s="18">
        <v>0.83333333333333337</v>
      </c>
      <c r="C297" s="19">
        <v>6.96</v>
      </c>
      <c r="D297" s="20">
        <v>73.849999999999994</v>
      </c>
      <c r="E297" s="19">
        <v>1.52</v>
      </c>
      <c r="F297" s="19">
        <v>0.7</v>
      </c>
      <c r="G297" s="20">
        <v>17.47</v>
      </c>
      <c r="H297" s="20">
        <v>13.8</v>
      </c>
      <c r="I297" s="20">
        <v>33.520000000000003</v>
      </c>
      <c r="J297" s="20">
        <v>943.27</v>
      </c>
      <c r="K297" s="32">
        <v>963706.98</v>
      </c>
      <c r="L297" s="2"/>
    </row>
    <row r="298" spans="1:12" x14ac:dyDescent="0.25">
      <c r="A298" s="58">
        <v>46034</v>
      </c>
      <c r="B298" s="18">
        <v>0.875</v>
      </c>
      <c r="C298" s="19">
        <v>6.89</v>
      </c>
      <c r="D298" s="20">
        <v>74.53</v>
      </c>
      <c r="E298" s="19">
        <v>1.6</v>
      </c>
      <c r="F298" s="19">
        <v>0.32</v>
      </c>
      <c r="G298" s="20">
        <v>17.46</v>
      </c>
      <c r="H298" s="20">
        <v>13.76</v>
      </c>
      <c r="I298" s="20">
        <v>32.81</v>
      </c>
      <c r="J298" s="20">
        <v>943.81</v>
      </c>
      <c r="K298" s="32">
        <v>968284.12000000011</v>
      </c>
      <c r="L298" s="2"/>
    </row>
    <row r="299" spans="1:12" x14ac:dyDescent="0.25">
      <c r="A299" s="58">
        <v>46034</v>
      </c>
      <c r="B299" s="18">
        <v>0.91666666666666663</v>
      </c>
      <c r="C299" s="19">
        <v>6.47</v>
      </c>
      <c r="D299" s="20">
        <v>73.88</v>
      </c>
      <c r="E299" s="19">
        <v>1.55</v>
      </c>
      <c r="F299" s="19">
        <v>0.54</v>
      </c>
      <c r="G299" s="20">
        <v>17.39</v>
      </c>
      <c r="H299" s="20">
        <v>13.77</v>
      </c>
      <c r="I299" s="20">
        <v>32.97</v>
      </c>
      <c r="J299" s="20">
        <v>944.27</v>
      </c>
      <c r="K299" s="32">
        <v>947676.81</v>
      </c>
      <c r="L299" s="2"/>
    </row>
    <row r="300" spans="1:12" ht="15.75" thickBot="1" x14ac:dyDescent="0.3">
      <c r="A300" s="60">
        <v>46034</v>
      </c>
      <c r="B300" s="35">
        <v>0.95833333333333337</v>
      </c>
      <c r="C300" s="23">
        <v>6.68</v>
      </c>
      <c r="D300" s="24">
        <v>74.22</v>
      </c>
      <c r="E300" s="23">
        <v>1.38</v>
      </c>
      <c r="F300" s="23">
        <v>0.68</v>
      </c>
      <c r="G300" s="24">
        <v>17.34</v>
      </c>
      <c r="H300" s="24">
        <v>13.76</v>
      </c>
      <c r="I300" s="24">
        <v>32.96</v>
      </c>
      <c r="J300" s="24">
        <v>944.61</v>
      </c>
      <c r="K300" s="36">
        <v>936063.74</v>
      </c>
      <c r="L300" s="2"/>
    </row>
    <row r="301" spans="1:12" ht="15.75" thickBot="1" x14ac:dyDescent="0.3">
      <c r="A301" s="26" t="s">
        <v>23</v>
      </c>
      <c r="B301" s="44"/>
      <c r="C301" s="45">
        <f t="shared" ref="C301:K301" si="11">IFERROR(ROUND(AVERAGE(C277:C300), 2), "")</f>
        <v>6.8</v>
      </c>
      <c r="D301" s="45">
        <f t="shared" si="11"/>
        <v>74.19</v>
      </c>
      <c r="E301" s="45">
        <f t="shared" si="11"/>
        <v>2.0499999999999998</v>
      </c>
      <c r="F301" s="45">
        <f t="shared" si="11"/>
        <v>0.52</v>
      </c>
      <c r="G301" s="45">
        <f t="shared" si="11"/>
        <v>17.440000000000001</v>
      </c>
      <c r="H301" s="45">
        <f t="shared" si="11"/>
        <v>13.83</v>
      </c>
      <c r="I301" s="45">
        <f t="shared" si="11"/>
        <v>33.68</v>
      </c>
      <c r="J301" s="45">
        <f t="shared" si="11"/>
        <v>941.89</v>
      </c>
      <c r="K301" s="46">
        <f t="shared" si="11"/>
        <v>973233.12</v>
      </c>
      <c r="L301" s="7"/>
    </row>
    <row r="302" spans="1:12" x14ac:dyDescent="0.25">
      <c r="A302" s="57">
        <v>46035</v>
      </c>
      <c r="B302" s="14">
        <v>0</v>
      </c>
      <c r="C302" s="16">
        <v>6.54</v>
      </c>
      <c r="D302" s="16">
        <v>74.89</v>
      </c>
      <c r="E302" s="16">
        <v>1.25</v>
      </c>
      <c r="F302" s="16">
        <v>0.17</v>
      </c>
      <c r="G302" s="16">
        <v>17.36</v>
      </c>
      <c r="H302" s="16">
        <v>13.74</v>
      </c>
      <c r="I302" s="16">
        <v>32.57</v>
      </c>
      <c r="J302" s="16">
        <v>944.8</v>
      </c>
      <c r="K302" s="31">
        <v>948173.26</v>
      </c>
      <c r="L302" s="2"/>
    </row>
    <row r="303" spans="1:12" x14ac:dyDescent="0.25">
      <c r="A303" s="58">
        <v>46035</v>
      </c>
      <c r="B303" s="18">
        <v>4.1666666666666664E-2</v>
      </c>
      <c r="C303" s="20">
        <v>6.61</v>
      </c>
      <c r="D303" s="20">
        <v>75.39</v>
      </c>
      <c r="E303" s="20">
        <v>1.53</v>
      </c>
      <c r="F303" s="20">
        <v>0.06</v>
      </c>
      <c r="G303" s="20">
        <v>17.38</v>
      </c>
      <c r="H303" s="20">
        <v>13.71</v>
      </c>
      <c r="I303" s="20">
        <v>31.98</v>
      </c>
      <c r="J303" s="20">
        <v>944.8</v>
      </c>
      <c r="K303" s="32">
        <v>965062.57000000007</v>
      </c>
      <c r="L303" s="2"/>
    </row>
    <row r="304" spans="1:12" x14ac:dyDescent="0.25">
      <c r="A304" s="58">
        <v>46035</v>
      </c>
      <c r="B304" s="18">
        <v>8.3333333333333329E-2</v>
      </c>
      <c r="C304" s="20">
        <v>7.29</v>
      </c>
      <c r="D304" s="20">
        <v>76.290000000000006</v>
      </c>
      <c r="E304" s="20">
        <v>1.26</v>
      </c>
      <c r="F304" s="20">
        <v>0.11</v>
      </c>
      <c r="G304" s="20">
        <v>17.38</v>
      </c>
      <c r="H304" s="20">
        <v>13.69</v>
      </c>
      <c r="I304" s="20">
        <v>31.6</v>
      </c>
      <c r="J304" s="20">
        <v>945.05</v>
      </c>
      <c r="K304" s="32">
        <v>963991.22</v>
      </c>
      <c r="L304" s="2"/>
    </row>
    <row r="305" spans="1:12" x14ac:dyDescent="0.25">
      <c r="A305" s="58">
        <v>46035</v>
      </c>
      <c r="B305" s="18">
        <v>0.125</v>
      </c>
      <c r="C305" s="20">
        <v>6.77</v>
      </c>
      <c r="D305" s="20">
        <v>75.540000000000006</v>
      </c>
      <c r="E305" s="20">
        <v>1.21</v>
      </c>
      <c r="F305" s="20">
        <v>0.14000000000000001</v>
      </c>
      <c r="G305" s="20">
        <v>17.38</v>
      </c>
      <c r="H305" s="20">
        <v>13.68</v>
      </c>
      <c r="I305" s="20">
        <v>31.47</v>
      </c>
      <c r="J305" s="20">
        <v>945.26</v>
      </c>
      <c r="K305" s="32">
        <v>971791.3</v>
      </c>
      <c r="L305" s="2"/>
    </row>
    <row r="306" spans="1:12" x14ac:dyDescent="0.25">
      <c r="A306" s="58">
        <v>46035</v>
      </c>
      <c r="B306" s="18">
        <v>0.16666666666666666</v>
      </c>
      <c r="C306" s="20">
        <v>6.26</v>
      </c>
      <c r="D306" s="20">
        <v>74.510000000000005</v>
      </c>
      <c r="E306" s="20">
        <v>1.1200000000000001</v>
      </c>
      <c r="F306" s="20">
        <v>0.03</v>
      </c>
      <c r="G306" s="20">
        <v>17.350000000000001</v>
      </c>
      <c r="H306" s="20">
        <v>13.68</v>
      </c>
      <c r="I306" s="20">
        <v>31.43</v>
      </c>
      <c r="J306" s="20">
        <v>945.34</v>
      </c>
      <c r="K306" s="32">
        <v>958118.96</v>
      </c>
      <c r="L306" s="2"/>
    </row>
    <row r="307" spans="1:12" x14ac:dyDescent="0.25">
      <c r="A307" s="58">
        <v>46035</v>
      </c>
      <c r="B307" s="18">
        <v>0.20833333333333334</v>
      </c>
      <c r="C307" s="20">
        <v>6.71</v>
      </c>
      <c r="D307" s="20">
        <v>75.040000000000006</v>
      </c>
      <c r="E307" s="20">
        <v>1.01</v>
      </c>
      <c r="F307" s="20">
        <v>0.1</v>
      </c>
      <c r="G307" s="20">
        <v>17.34</v>
      </c>
      <c r="H307" s="20">
        <v>13.68</v>
      </c>
      <c r="I307" s="20">
        <v>31.58</v>
      </c>
      <c r="J307" s="20">
        <v>945.53</v>
      </c>
      <c r="K307" s="32">
        <v>949373.69</v>
      </c>
      <c r="L307" s="2"/>
    </row>
    <row r="308" spans="1:12" x14ac:dyDescent="0.25">
      <c r="A308" s="58">
        <v>46035</v>
      </c>
      <c r="B308" s="18">
        <v>0.25</v>
      </c>
      <c r="C308" s="20">
        <v>7.68</v>
      </c>
      <c r="D308" s="20">
        <v>75.58</v>
      </c>
      <c r="E308" s="20">
        <v>1.22</v>
      </c>
      <c r="F308" s="20">
        <v>0.13</v>
      </c>
      <c r="G308" s="20">
        <v>17.37</v>
      </c>
      <c r="H308" s="20">
        <v>13.67</v>
      </c>
      <c r="I308" s="20">
        <v>31.36</v>
      </c>
      <c r="J308" s="20">
        <v>945.94</v>
      </c>
      <c r="K308" s="32">
        <v>963836.10000000009</v>
      </c>
      <c r="L308" s="2"/>
    </row>
    <row r="309" spans="1:12" x14ac:dyDescent="0.25">
      <c r="A309" s="58">
        <v>46035</v>
      </c>
      <c r="B309" s="18">
        <v>0.29166666666666669</v>
      </c>
      <c r="C309" s="20">
        <v>8.1</v>
      </c>
      <c r="D309" s="20">
        <v>76.7</v>
      </c>
      <c r="E309" s="20">
        <v>1.04</v>
      </c>
      <c r="F309" s="20">
        <v>0.04</v>
      </c>
      <c r="G309" s="20">
        <v>17.39</v>
      </c>
      <c r="H309" s="20">
        <v>13.65</v>
      </c>
      <c r="I309" s="20">
        <v>31.03</v>
      </c>
      <c r="J309" s="20">
        <v>946.2</v>
      </c>
      <c r="K309" s="32">
        <v>972693.98</v>
      </c>
      <c r="L309" s="2"/>
    </row>
    <row r="310" spans="1:12" x14ac:dyDescent="0.25">
      <c r="A310" s="58">
        <v>46035</v>
      </c>
      <c r="B310" s="18">
        <v>0.33333333333333331</v>
      </c>
      <c r="C310" s="20">
        <v>7.91</v>
      </c>
      <c r="D310" s="20">
        <v>76.87</v>
      </c>
      <c r="E310" s="20">
        <v>1.38</v>
      </c>
      <c r="F310" s="20">
        <v>0.04</v>
      </c>
      <c r="G310" s="20">
        <v>17.39</v>
      </c>
      <c r="H310" s="20">
        <v>13.65</v>
      </c>
      <c r="I310" s="20">
        <v>31.04</v>
      </c>
      <c r="J310" s="20">
        <v>946.32</v>
      </c>
      <c r="K310" s="32">
        <v>970723.33000000007</v>
      </c>
      <c r="L310" s="2"/>
    </row>
    <row r="311" spans="1:12" x14ac:dyDescent="0.25">
      <c r="A311" s="58">
        <v>46035</v>
      </c>
      <c r="B311" s="18">
        <v>0.375</v>
      </c>
      <c r="C311" s="20">
        <v>8.49</v>
      </c>
      <c r="D311" s="20">
        <v>77.27</v>
      </c>
      <c r="E311" s="20">
        <v>1.23</v>
      </c>
      <c r="F311" s="20">
        <v>0.16</v>
      </c>
      <c r="G311" s="20">
        <v>17.41</v>
      </c>
      <c r="H311" s="20">
        <v>13.67</v>
      </c>
      <c r="I311" s="20">
        <v>31.69</v>
      </c>
      <c r="J311" s="20">
        <v>946.41</v>
      </c>
      <c r="K311" s="32">
        <v>969963.40999999992</v>
      </c>
      <c r="L311" s="2"/>
    </row>
    <row r="312" spans="1:12" x14ac:dyDescent="0.25">
      <c r="A312" s="58">
        <v>46035</v>
      </c>
      <c r="B312" s="18">
        <v>0.41666666666666669</v>
      </c>
      <c r="C312" s="20">
        <v>8.61</v>
      </c>
      <c r="D312" s="20">
        <v>77.58</v>
      </c>
      <c r="E312" s="20">
        <v>1.51</v>
      </c>
      <c r="F312" s="20">
        <v>0.12</v>
      </c>
      <c r="G312" s="20">
        <v>17.43</v>
      </c>
      <c r="H312" s="20">
        <v>13.71</v>
      </c>
      <c r="I312" s="20">
        <v>32.630000000000003</v>
      </c>
      <c r="J312" s="20">
        <v>946.62</v>
      </c>
      <c r="K312" s="32">
        <v>971092.04</v>
      </c>
      <c r="L312" s="2"/>
    </row>
    <row r="313" spans="1:12" x14ac:dyDescent="0.25">
      <c r="A313" s="58">
        <v>46035</v>
      </c>
      <c r="B313" s="18">
        <v>0.45833333333333331</v>
      </c>
      <c r="C313" s="20">
        <v>7.63</v>
      </c>
      <c r="D313" s="20">
        <v>76.2</v>
      </c>
      <c r="E313" s="20">
        <v>2.02</v>
      </c>
      <c r="F313" s="20">
        <v>0.24</v>
      </c>
      <c r="G313" s="20">
        <v>17.45</v>
      </c>
      <c r="H313" s="20">
        <v>13.74</v>
      </c>
      <c r="I313" s="20">
        <v>33.17</v>
      </c>
      <c r="J313" s="20">
        <v>946.42</v>
      </c>
      <c r="K313" s="32">
        <v>973514.33000000007</v>
      </c>
      <c r="L313" s="2"/>
    </row>
    <row r="314" spans="1:12" x14ac:dyDescent="0.25">
      <c r="A314" s="58">
        <v>46035</v>
      </c>
      <c r="B314" s="18">
        <v>0.5</v>
      </c>
      <c r="C314" s="20">
        <v>7.51</v>
      </c>
      <c r="D314" s="20">
        <v>74.569999999999993</v>
      </c>
      <c r="E314" s="20">
        <v>2.0699999999999998</v>
      </c>
      <c r="F314" s="20">
        <v>0.01</v>
      </c>
      <c r="G314" s="20">
        <v>17.45</v>
      </c>
      <c r="H314" s="20">
        <v>13.78</v>
      </c>
      <c r="I314" s="20">
        <v>33.74</v>
      </c>
      <c r="J314" s="20">
        <v>945.52</v>
      </c>
      <c r="K314" s="32">
        <v>971640.92999999993</v>
      </c>
      <c r="L314" s="2"/>
    </row>
    <row r="315" spans="1:12" x14ac:dyDescent="0.25">
      <c r="A315" s="58">
        <v>46035</v>
      </c>
      <c r="B315" s="18">
        <v>0.54166666666666663</v>
      </c>
      <c r="C315" s="20">
        <v>8.81</v>
      </c>
      <c r="D315" s="20">
        <v>74.930000000000007</v>
      </c>
      <c r="E315" s="20">
        <v>1.86</v>
      </c>
      <c r="F315" s="20">
        <v>0.22</v>
      </c>
      <c r="G315" s="20">
        <v>17.45</v>
      </c>
      <c r="H315" s="20">
        <v>13.82</v>
      </c>
      <c r="I315" s="20">
        <v>34.31</v>
      </c>
      <c r="J315" s="20">
        <v>944.85</v>
      </c>
      <c r="K315" s="32">
        <v>961535.76</v>
      </c>
      <c r="L315" s="2"/>
    </row>
    <row r="316" spans="1:12" x14ac:dyDescent="0.25">
      <c r="A316" s="58">
        <v>46035</v>
      </c>
      <c r="B316" s="18">
        <v>0.58333333333333337</v>
      </c>
      <c r="C316" s="20">
        <v>8.18</v>
      </c>
      <c r="D316" s="20">
        <v>73.959999999999994</v>
      </c>
      <c r="E316" s="20">
        <v>1.78</v>
      </c>
      <c r="F316" s="20">
        <v>0.36</v>
      </c>
      <c r="G316" s="20">
        <v>17.440000000000001</v>
      </c>
      <c r="H316" s="20">
        <v>13.83</v>
      </c>
      <c r="I316" s="20">
        <v>34.46</v>
      </c>
      <c r="J316" s="20">
        <v>944.29</v>
      </c>
      <c r="K316" s="32">
        <v>954789.42999999993</v>
      </c>
      <c r="L316" s="2"/>
    </row>
    <row r="317" spans="1:12" x14ac:dyDescent="0.25">
      <c r="A317" s="58">
        <v>46035</v>
      </c>
      <c r="B317" s="18">
        <v>0.625</v>
      </c>
      <c r="C317" s="20">
        <v>8.1</v>
      </c>
      <c r="D317" s="20">
        <v>73.900000000000006</v>
      </c>
      <c r="E317" s="20">
        <v>1.59</v>
      </c>
      <c r="F317" s="20">
        <v>0.35</v>
      </c>
      <c r="G317" s="20">
        <v>17.440000000000001</v>
      </c>
      <c r="H317" s="20">
        <v>13.84</v>
      </c>
      <c r="I317" s="20">
        <v>34.659999999999997</v>
      </c>
      <c r="J317" s="20">
        <v>944.39</v>
      </c>
      <c r="K317" s="32">
        <v>955279.46</v>
      </c>
      <c r="L317" s="2"/>
    </row>
    <row r="318" spans="1:12" x14ac:dyDescent="0.25">
      <c r="A318" s="58">
        <v>46035</v>
      </c>
      <c r="B318" s="18">
        <v>0.66666666666666663</v>
      </c>
      <c r="C318" s="20">
        <v>7.79</v>
      </c>
      <c r="D318" s="20">
        <v>73.86</v>
      </c>
      <c r="E318" s="20">
        <v>2.12</v>
      </c>
      <c r="F318" s="20">
        <v>0.53</v>
      </c>
      <c r="G318" s="20">
        <v>17.420000000000002</v>
      </c>
      <c r="H318" s="20">
        <v>13.84</v>
      </c>
      <c r="I318" s="20">
        <v>34.72</v>
      </c>
      <c r="J318" s="20">
        <v>944.45</v>
      </c>
      <c r="K318" s="32">
        <v>953968.92999999993</v>
      </c>
      <c r="L318" s="2"/>
    </row>
    <row r="319" spans="1:12" x14ac:dyDescent="0.25">
      <c r="A319" s="58">
        <v>46035</v>
      </c>
      <c r="B319" s="18">
        <v>0.70833333333333337</v>
      </c>
      <c r="C319" s="20">
        <v>8.14</v>
      </c>
      <c r="D319" s="20">
        <v>73.91</v>
      </c>
      <c r="E319" s="20">
        <v>2.2200000000000002</v>
      </c>
      <c r="F319" s="20">
        <v>0.56999999999999995</v>
      </c>
      <c r="G319" s="20">
        <v>17.41</v>
      </c>
      <c r="H319" s="20">
        <v>13.85</v>
      </c>
      <c r="I319" s="20">
        <v>34.76</v>
      </c>
      <c r="J319" s="20">
        <v>943.83</v>
      </c>
      <c r="K319" s="32">
        <v>956779.46</v>
      </c>
      <c r="L319" s="2"/>
    </row>
    <row r="320" spans="1:12" x14ac:dyDescent="0.25">
      <c r="A320" s="58">
        <v>46035</v>
      </c>
      <c r="B320" s="18">
        <v>0.75</v>
      </c>
      <c r="C320" s="19">
        <v>7.72</v>
      </c>
      <c r="D320" s="19">
        <v>73.53</v>
      </c>
      <c r="E320" s="19">
        <v>2.82</v>
      </c>
      <c r="F320" s="19">
        <v>0.34</v>
      </c>
      <c r="G320" s="20">
        <v>17.43</v>
      </c>
      <c r="H320" s="20">
        <v>13.84</v>
      </c>
      <c r="I320" s="20">
        <v>34.369999999999997</v>
      </c>
      <c r="J320" s="20">
        <v>943.72</v>
      </c>
      <c r="K320" s="32">
        <v>964664.81</v>
      </c>
      <c r="L320" s="2"/>
    </row>
    <row r="321" spans="1:12" x14ac:dyDescent="0.25">
      <c r="A321" s="58">
        <v>46035</v>
      </c>
      <c r="B321" s="18">
        <v>0.79166666666666663</v>
      </c>
      <c r="C321" s="19">
        <v>7.73</v>
      </c>
      <c r="D321" s="19">
        <v>73.62</v>
      </c>
      <c r="E321" s="19">
        <v>3.31</v>
      </c>
      <c r="F321" s="19">
        <v>0.55000000000000004</v>
      </c>
      <c r="G321" s="20">
        <v>17.420000000000002</v>
      </c>
      <c r="H321" s="20">
        <v>13.83</v>
      </c>
      <c r="I321" s="20">
        <v>34.33</v>
      </c>
      <c r="J321" s="20">
        <v>943.85</v>
      </c>
      <c r="K321" s="32">
        <v>952073.73</v>
      </c>
      <c r="L321" s="2"/>
    </row>
    <row r="322" spans="1:12" x14ac:dyDescent="0.25">
      <c r="A322" s="58">
        <v>46035</v>
      </c>
      <c r="B322" s="18">
        <v>0.83333333333333337</v>
      </c>
      <c r="C322" s="19">
        <v>7.52</v>
      </c>
      <c r="D322" s="19">
        <v>73.55</v>
      </c>
      <c r="E322" s="19">
        <v>2.65</v>
      </c>
      <c r="F322" s="19">
        <v>0.68</v>
      </c>
      <c r="G322" s="20">
        <v>17.43</v>
      </c>
      <c r="H322" s="20">
        <v>13.83</v>
      </c>
      <c r="I322" s="20">
        <v>34.24</v>
      </c>
      <c r="J322" s="20">
        <v>943.64</v>
      </c>
      <c r="K322" s="32">
        <v>963346.25</v>
      </c>
      <c r="L322" s="2"/>
    </row>
    <row r="323" spans="1:12" x14ac:dyDescent="0.25">
      <c r="A323" s="58">
        <v>46035</v>
      </c>
      <c r="B323" s="18">
        <v>0.875</v>
      </c>
      <c r="C323" s="19">
        <v>7.87</v>
      </c>
      <c r="D323" s="19">
        <v>73.89</v>
      </c>
      <c r="E323" s="19">
        <v>3.05</v>
      </c>
      <c r="F323" s="19">
        <v>0.41</v>
      </c>
      <c r="G323" s="20">
        <v>17.45</v>
      </c>
      <c r="H323" s="20">
        <v>13.84</v>
      </c>
      <c r="I323" s="20">
        <v>34.31</v>
      </c>
      <c r="J323" s="20">
        <v>943.6</v>
      </c>
      <c r="K323" s="32">
        <v>957094.49</v>
      </c>
      <c r="L323" s="2"/>
    </row>
    <row r="324" spans="1:12" x14ac:dyDescent="0.25">
      <c r="A324" s="58">
        <v>46035</v>
      </c>
      <c r="B324" s="18">
        <v>0.91666666666666663</v>
      </c>
      <c r="C324" s="19">
        <v>7.35</v>
      </c>
      <c r="D324" s="19">
        <v>73.97</v>
      </c>
      <c r="E324" s="19">
        <v>3.45</v>
      </c>
      <c r="F324" s="19">
        <v>0.53</v>
      </c>
      <c r="G324" s="20">
        <v>17.41</v>
      </c>
      <c r="H324" s="20">
        <v>13.85</v>
      </c>
      <c r="I324" s="20">
        <v>34.549999999999997</v>
      </c>
      <c r="J324" s="20">
        <v>943.57</v>
      </c>
      <c r="K324" s="32">
        <v>951512.55</v>
      </c>
      <c r="L324" s="2"/>
    </row>
    <row r="325" spans="1:12" ht="15.75" thickBot="1" x14ac:dyDescent="0.3">
      <c r="A325" s="60">
        <v>46035</v>
      </c>
      <c r="B325" s="35">
        <v>0.95833333333333337</v>
      </c>
      <c r="C325" s="23">
        <v>7</v>
      </c>
      <c r="D325" s="23">
        <v>74.02</v>
      </c>
      <c r="E325" s="23">
        <v>1.92</v>
      </c>
      <c r="F325" s="23">
        <v>0.57999999999999996</v>
      </c>
      <c r="G325" s="24">
        <v>17.440000000000001</v>
      </c>
      <c r="H325" s="24">
        <v>13.84</v>
      </c>
      <c r="I325" s="24">
        <v>34.6</v>
      </c>
      <c r="J325" s="24">
        <v>943.92</v>
      </c>
      <c r="K325" s="36">
        <v>945135.07000000007</v>
      </c>
      <c r="L325" s="2"/>
    </row>
    <row r="326" spans="1:12" ht="15.75" thickBot="1" x14ac:dyDescent="0.3">
      <c r="A326" s="26" t="s">
        <v>24</v>
      </c>
      <c r="B326" s="44"/>
      <c r="C326" s="45">
        <f t="shared" ref="C326:K326" si="12">IFERROR(ROUND(AVERAGE(C302:C325), 2), "")</f>
        <v>7.6</v>
      </c>
      <c r="D326" s="45">
        <f t="shared" si="12"/>
        <v>74.98</v>
      </c>
      <c r="E326" s="45">
        <f t="shared" si="12"/>
        <v>1.86</v>
      </c>
      <c r="F326" s="45">
        <f t="shared" si="12"/>
        <v>0.27</v>
      </c>
      <c r="G326" s="45">
        <f t="shared" si="12"/>
        <v>17.41</v>
      </c>
      <c r="H326" s="45">
        <f t="shared" si="12"/>
        <v>13.76</v>
      </c>
      <c r="I326" s="45">
        <f t="shared" si="12"/>
        <v>33.11</v>
      </c>
      <c r="J326" s="45">
        <f t="shared" si="12"/>
        <v>944.93</v>
      </c>
      <c r="K326" s="46">
        <f t="shared" si="12"/>
        <v>961089.79</v>
      </c>
      <c r="L326" s="7"/>
    </row>
    <row r="327" spans="1:12" x14ac:dyDescent="0.25">
      <c r="A327" s="57">
        <v>46036</v>
      </c>
      <c r="B327" s="14">
        <v>0</v>
      </c>
      <c r="C327" s="15">
        <v>7.01</v>
      </c>
      <c r="D327" s="15">
        <v>73.89</v>
      </c>
      <c r="E327" s="15">
        <v>1.64</v>
      </c>
      <c r="F327" s="15">
        <v>0.44</v>
      </c>
      <c r="G327" s="15">
        <v>17.43</v>
      </c>
      <c r="H327" s="16">
        <v>13.84</v>
      </c>
      <c r="I327" s="16">
        <v>34.549999999999997</v>
      </c>
      <c r="J327" s="16">
        <v>944.16</v>
      </c>
      <c r="K327" s="17">
        <v>945793.27</v>
      </c>
      <c r="L327" s="2"/>
    </row>
    <row r="328" spans="1:12" x14ac:dyDescent="0.25">
      <c r="A328" s="58">
        <v>46036</v>
      </c>
      <c r="B328" s="18">
        <v>4.1666666666666664E-2</v>
      </c>
      <c r="C328" s="19">
        <v>7.33</v>
      </c>
      <c r="D328" s="19">
        <v>74.44</v>
      </c>
      <c r="E328" s="19">
        <v>1.31</v>
      </c>
      <c r="F328" s="19">
        <v>0.47</v>
      </c>
      <c r="G328" s="19">
        <v>17.41</v>
      </c>
      <c r="H328" s="20">
        <v>13.82</v>
      </c>
      <c r="I328" s="20">
        <v>34.340000000000003</v>
      </c>
      <c r="J328" s="20">
        <v>944.52</v>
      </c>
      <c r="K328" s="21">
        <v>953694.60000000009</v>
      </c>
      <c r="L328" s="1"/>
    </row>
    <row r="329" spans="1:12" x14ac:dyDescent="0.25">
      <c r="A329" s="58">
        <v>46036</v>
      </c>
      <c r="B329" s="18">
        <v>8.3333333333333329E-2</v>
      </c>
      <c r="C329" s="19">
        <v>7.21</v>
      </c>
      <c r="D329" s="19">
        <v>73.55</v>
      </c>
      <c r="E329" s="19">
        <v>1.75</v>
      </c>
      <c r="F329" s="19">
        <v>0.65</v>
      </c>
      <c r="G329" s="19">
        <v>17.41</v>
      </c>
      <c r="H329" s="20">
        <v>13.8</v>
      </c>
      <c r="I329" s="20">
        <v>34.11</v>
      </c>
      <c r="J329" s="20">
        <v>945.17</v>
      </c>
      <c r="K329" s="21">
        <v>951239.75</v>
      </c>
      <c r="L329" s="1"/>
    </row>
    <row r="330" spans="1:12" x14ac:dyDescent="0.25">
      <c r="A330" s="58">
        <v>46036</v>
      </c>
      <c r="B330" s="18">
        <v>0.125</v>
      </c>
      <c r="C330" s="19">
        <v>7.93</v>
      </c>
      <c r="D330" s="19">
        <v>74.739999999999995</v>
      </c>
      <c r="E330" s="19">
        <v>1.7</v>
      </c>
      <c r="F330" s="19">
        <v>0.6</v>
      </c>
      <c r="G330" s="19">
        <v>17.399999999999999</v>
      </c>
      <c r="H330" s="20">
        <v>13.79</v>
      </c>
      <c r="I330" s="20">
        <v>34.090000000000003</v>
      </c>
      <c r="J330" s="20">
        <v>945.79</v>
      </c>
      <c r="K330" s="21">
        <v>952124.34000000008</v>
      </c>
      <c r="L330" s="1"/>
    </row>
    <row r="331" spans="1:12" x14ac:dyDescent="0.25">
      <c r="A331" s="58">
        <v>46036</v>
      </c>
      <c r="B331" s="18">
        <v>0.16666666666666666</v>
      </c>
      <c r="C331" s="19">
        <v>8.56</v>
      </c>
      <c r="D331" s="19">
        <v>75.319999999999993</v>
      </c>
      <c r="E331" s="19">
        <v>2.37</v>
      </c>
      <c r="F331" s="19">
        <v>1.1200000000000001</v>
      </c>
      <c r="G331" s="19">
        <v>17.41</v>
      </c>
      <c r="H331" s="20">
        <v>13.78</v>
      </c>
      <c r="I331" s="20">
        <v>33.99</v>
      </c>
      <c r="J331" s="20">
        <v>946.29</v>
      </c>
      <c r="K331" s="21">
        <v>957086.54</v>
      </c>
      <c r="L331" s="1"/>
    </row>
    <row r="332" spans="1:12" x14ac:dyDescent="0.25">
      <c r="A332" s="58">
        <v>46036</v>
      </c>
      <c r="B332" s="18">
        <v>0.20833333333333334</v>
      </c>
      <c r="C332" s="19">
        <v>6.85</v>
      </c>
      <c r="D332" s="19">
        <v>74.849999999999994</v>
      </c>
      <c r="E332" s="19">
        <v>1.91</v>
      </c>
      <c r="F332" s="19">
        <v>0.51</v>
      </c>
      <c r="G332" s="19">
        <v>17.350000000000001</v>
      </c>
      <c r="H332" s="20">
        <v>13.77</v>
      </c>
      <c r="I332" s="20">
        <v>33.78</v>
      </c>
      <c r="J332" s="20">
        <v>946.56</v>
      </c>
      <c r="K332" s="21">
        <v>927284.87999999989</v>
      </c>
      <c r="L332" s="1"/>
    </row>
    <row r="333" spans="1:12" x14ac:dyDescent="0.25">
      <c r="A333" s="58">
        <v>46036</v>
      </c>
      <c r="B333" s="18">
        <v>0.25</v>
      </c>
      <c r="C333" s="19">
        <v>7.37</v>
      </c>
      <c r="D333" s="19">
        <v>75.209999999999994</v>
      </c>
      <c r="E333" s="19">
        <v>2.2599999999999998</v>
      </c>
      <c r="F333" s="19">
        <v>0.48</v>
      </c>
      <c r="G333" s="19">
        <v>17.350000000000001</v>
      </c>
      <c r="H333" s="20">
        <v>13.74</v>
      </c>
      <c r="I333" s="20">
        <v>33.31</v>
      </c>
      <c r="J333" s="20">
        <v>947.09</v>
      </c>
      <c r="K333" s="21">
        <v>933113.59000000008</v>
      </c>
      <c r="L333" s="2"/>
    </row>
    <row r="334" spans="1:12" x14ac:dyDescent="0.25">
      <c r="A334" s="58">
        <v>46036</v>
      </c>
      <c r="B334" s="18">
        <v>0.29166666666666669</v>
      </c>
      <c r="C334" s="19">
        <v>6.69</v>
      </c>
      <c r="D334" s="19">
        <v>74.22</v>
      </c>
      <c r="E334" s="19">
        <v>1.84</v>
      </c>
      <c r="F334" s="19">
        <v>0.82</v>
      </c>
      <c r="G334" s="19">
        <v>17.34</v>
      </c>
      <c r="H334" s="20">
        <v>13.72</v>
      </c>
      <c r="I334" s="20">
        <v>33.06</v>
      </c>
      <c r="J334" s="20">
        <v>947.55</v>
      </c>
      <c r="K334" s="21">
        <v>934553.46</v>
      </c>
      <c r="L334" s="2"/>
    </row>
    <row r="335" spans="1:12" x14ac:dyDescent="0.25">
      <c r="A335" s="58">
        <v>46036</v>
      </c>
      <c r="B335" s="18">
        <v>0.33333333333333331</v>
      </c>
      <c r="C335" s="19">
        <v>7.46</v>
      </c>
      <c r="D335" s="19">
        <v>75.209999999999994</v>
      </c>
      <c r="E335" s="19">
        <v>1.1399999999999999</v>
      </c>
      <c r="F335" s="19">
        <v>1.54</v>
      </c>
      <c r="G335" s="19">
        <v>17.32</v>
      </c>
      <c r="H335" s="20">
        <v>13.73</v>
      </c>
      <c r="I335" s="20">
        <v>33.26</v>
      </c>
      <c r="J335" s="20">
        <v>947.75</v>
      </c>
      <c r="K335" s="21">
        <v>940291.6100000001</v>
      </c>
      <c r="L335" s="2"/>
    </row>
    <row r="336" spans="1:12" x14ac:dyDescent="0.25">
      <c r="A336" s="58">
        <v>46036</v>
      </c>
      <c r="B336" s="18">
        <v>0.375</v>
      </c>
      <c r="C336" s="19">
        <v>7.91</v>
      </c>
      <c r="D336" s="19">
        <v>75.36</v>
      </c>
      <c r="E336" s="19">
        <v>1.54</v>
      </c>
      <c r="F336" s="19">
        <v>2.14</v>
      </c>
      <c r="G336" s="19">
        <v>17.34</v>
      </c>
      <c r="H336" s="20">
        <v>13.75</v>
      </c>
      <c r="I336" s="20">
        <v>33.840000000000003</v>
      </c>
      <c r="J336" s="20">
        <v>948.21</v>
      </c>
      <c r="K336" s="21">
        <v>927859.6100000001</v>
      </c>
      <c r="L336" s="2"/>
    </row>
    <row r="337" spans="1:12" x14ac:dyDescent="0.25">
      <c r="A337" s="58">
        <v>46036</v>
      </c>
      <c r="B337" s="18">
        <v>0.41666666666666669</v>
      </c>
      <c r="C337" s="19">
        <v>7.58</v>
      </c>
      <c r="D337" s="19">
        <v>75.41</v>
      </c>
      <c r="E337" s="19">
        <v>2.54</v>
      </c>
      <c r="F337" s="19">
        <v>1.67</v>
      </c>
      <c r="G337" s="19">
        <v>17.36</v>
      </c>
      <c r="H337" s="20">
        <v>13.76</v>
      </c>
      <c r="I337" s="20">
        <v>34.43</v>
      </c>
      <c r="J337" s="20">
        <v>948.86</v>
      </c>
      <c r="K337" s="21">
        <v>947476.37999999989</v>
      </c>
      <c r="L337" s="2"/>
    </row>
    <row r="338" spans="1:12" x14ac:dyDescent="0.25">
      <c r="A338" s="58">
        <v>46036</v>
      </c>
      <c r="B338" s="18">
        <v>0.45833333333333331</v>
      </c>
      <c r="C338" s="19">
        <v>7.3</v>
      </c>
      <c r="D338" s="19">
        <v>75.12</v>
      </c>
      <c r="E338" s="19">
        <v>2.67</v>
      </c>
      <c r="F338" s="19">
        <v>1.7</v>
      </c>
      <c r="G338" s="19">
        <v>17.38</v>
      </c>
      <c r="H338" s="20">
        <v>13.81</v>
      </c>
      <c r="I338" s="20">
        <v>35.47</v>
      </c>
      <c r="J338" s="20">
        <v>948.73</v>
      </c>
      <c r="K338" s="21">
        <v>930062.98</v>
      </c>
      <c r="L338" s="2"/>
    </row>
    <row r="339" spans="1:12" x14ac:dyDescent="0.25">
      <c r="A339" s="58">
        <v>46036</v>
      </c>
      <c r="B339" s="18">
        <v>0.5</v>
      </c>
      <c r="C339" s="19">
        <v>7.6</v>
      </c>
      <c r="D339" s="19">
        <v>76.34</v>
      </c>
      <c r="E339" s="19">
        <v>1.81</v>
      </c>
      <c r="F339" s="19">
        <v>0.48</v>
      </c>
      <c r="G339" s="19">
        <v>17.38</v>
      </c>
      <c r="H339" s="20">
        <v>13.87</v>
      </c>
      <c r="I339" s="20">
        <v>36.47</v>
      </c>
      <c r="J339" s="20">
        <v>948.16</v>
      </c>
      <c r="K339" s="21">
        <v>936081.3899999999</v>
      </c>
      <c r="L339" s="2"/>
    </row>
    <row r="340" spans="1:12" x14ac:dyDescent="0.25">
      <c r="A340" s="58">
        <v>46036</v>
      </c>
      <c r="B340" s="18">
        <v>0.54166666666666663</v>
      </c>
      <c r="C340" s="19">
        <v>6.81</v>
      </c>
      <c r="D340" s="19">
        <v>76.05</v>
      </c>
      <c r="E340" s="19">
        <v>2.93</v>
      </c>
      <c r="F340" s="19">
        <v>0.17</v>
      </c>
      <c r="G340" s="19">
        <v>17.37</v>
      </c>
      <c r="H340" s="20">
        <v>13.89</v>
      </c>
      <c r="I340" s="20">
        <v>36.840000000000003</v>
      </c>
      <c r="J340" s="20">
        <v>947.93</v>
      </c>
      <c r="K340" s="21">
        <v>927901.12000000011</v>
      </c>
      <c r="L340" s="2"/>
    </row>
    <row r="341" spans="1:12" x14ac:dyDescent="0.25">
      <c r="A341" s="58">
        <v>46036</v>
      </c>
      <c r="B341" s="18">
        <v>0.58333333333333337</v>
      </c>
      <c r="C341" s="19">
        <v>6.82</v>
      </c>
      <c r="D341" s="19">
        <v>75.739999999999995</v>
      </c>
      <c r="E341" s="19">
        <v>2.89</v>
      </c>
      <c r="F341" s="19">
        <v>0.23</v>
      </c>
      <c r="G341" s="19">
        <v>17.399999999999999</v>
      </c>
      <c r="H341" s="20">
        <v>13.89</v>
      </c>
      <c r="I341" s="20">
        <v>36.82</v>
      </c>
      <c r="J341" s="20">
        <v>947.82</v>
      </c>
      <c r="K341" s="21">
        <v>929237.23</v>
      </c>
      <c r="L341" s="2"/>
    </row>
    <row r="342" spans="1:12" x14ac:dyDescent="0.25">
      <c r="A342" s="58">
        <v>46036</v>
      </c>
      <c r="B342" s="18">
        <v>0.625</v>
      </c>
      <c r="C342" s="19">
        <v>7.29</v>
      </c>
      <c r="D342" s="19">
        <v>76.03</v>
      </c>
      <c r="E342" s="19">
        <v>2.4</v>
      </c>
      <c r="F342" s="19">
        <v>0.13</v>
      </c>
      <c r="G342" s="19">
        <v>17.41</v>
      </c>
      <c r="H342" s="20">
        <v>13.88</v>
      </c>
      <c r="I342" s="20">
        <v>36.58</v>
      </c>
      <c r="J342" s="20">
        <v>947.42</v>
      </c>
      <c r="K342" s="21">
        <v>942033.26</v>
      </c>
      <c r="L342" s="2"/>
    </row>
    <row r="343" spans="1:12" x14ac:dyDescent="0.25">
      <c r="A343" s="58">
        <v>46036</v>
      </c>
      <c r="B343" s="18">
        <v>0.66666666666666663</v>
      </c>
      <c r="C343" s="19">
        <v>7.11</v>
      </c>
      <c r="D343" s="19">
        <v>76.319999999999993</v>
      </c>
      <c r="E343" s="19">
        <v>2.83</v>
      </c>
      <c r="F343" s="19">
        <v>0.14000000000000001</v>
      </c>
      <c r="G343" s="19">
        <v>17.399999999999999</v>
      </c>
      <c r="H343" s="20">
        <v>13.86</v>
      </c>
      <c r="I343" s="20">
        <v>35.9</v>
      </c>
      <c r="J343" s="20">
        <v>947.2</v>
      </c>
      <c r="K343" s="21">
        <v>951359.33000000007</v>
      </c>
      <c r="L343" s="2"/>
    </row>
    <row r="344" spans="1:12" x14ac:dyDescent="0.25">
      <c r="A344" s="58">
        <v>46036</v>
      </c>
      <c r="B344" s="18">
        <v>0.70833333333333337</v>
      </c>
      <c r="C344" s="19">
        <v>6.97</v>
      </c>
      <c r="D344" s="19">
        <v>76.290000000000006</v>
      </c>
      <c r="E344" s="19">
        <v>2.16</v>
      </c>
      <c r="F344" s="19">
        <v>0.21</v>
      </c>
      <c r="G344" s="19">
        <v>17.39</v>
      </c>
      <c r="H344" s="20">
        <v>13.85</v>
      </c>
      <c r="I344" s="20">
        <v>35.74</v>
      </c>
      <c r="J344" s="20">
        <v>947.03</v>
      </c>
      <c r="K344" s="21">
        <v>938958.66999999993</v>
      </c>
      <c r="L344" s="2"/>
    </row>
    <row r="345" spans="1:12" x14ac:dyDescent="0.25">
      <c r="A345" s="58">
        <v>46036</v>
      </c>
      <c r="B345" s="18">
        <v>0.75</v>
      </c>
      <c r="C345" s="19">
        <v>6.77</v>
      </c>
      <c r="D345" s="19">
        <v>76.25</v>
      </c>
      <c r="E345" s="19">
        <v>2.23</v>
      </c>
      <c r="F345" s="19">
        <v>0.09</v>
      </c>
      <c r="G345" s="19">
        <v>17.399999999999999</v>
      </c>
      <c r="H345" s="20">
        <v>13.85</v>
      </c>
      <c r="I345" s="20">
        <v>35.520000000000003</v>
      </c>
      <c r="J345" s="20">
        <v>946.59</v>
      </c>
      <c r="K345" s="21">
        <v>939294.21</v>
      </c>
      <c r="L345" s="2"/>
    </row>
    <row r="346" spans="1:12" x14ac:dyDescent="0.25">
      <c r="A346" s="58">
        <v>46036</v>
      </c>
      <c r="B346" s="18">
        <v>0.79166666666666663</v>
      </c>
      <c r="C346" s="19">
        <v>7.97</v>
      </c>
      <c r="D346" s="19">
        <v>77.040000000000006</v>
      </c>
      <c r="E346" s="19">
        <v>2.4700000000000002</v>
      </c>
      <c r="F346" s="19">
        <v>0.21</v>
      </c>
      <c r="G346" s="19">
        <v>17.41</v>
      </c>
      <c r="H346" s="20">
        <v>13.84</v>
      </c>
      <c r="I346" s="20">
        <v>35.17</v>
      </c>
      <c r="J346" s="20">
        <v>946.19</v>
      </c>
      <c r="K346" s="21">
        <v>946760.48</v>
      </c>
      <c r="L346" s="2"/>
    </row>
    <row r="347" spans="1:12" x14ac:dyDescent="0.25">
      <c r="A347" s="58">
        <v>46036</v>
      </c>
      <c r="B347" s="18">
        <v>0.83333333333333337</v>
      </c>
      <c r="C347" s="19">
        <v>6.4</v>
      </c>
      <c r="D347" s="19">
        <v>76.58</v>
      </c>
      <c r="E347" s="19">
        <v>2.56</v>
      </c>
      <c r="F347" s="19">
        <v>0.16</v>
      </c>
      <c r="G347" s="19">
        <v>17.420000000000002</v>
      </c>
      <c r="H347" s="20">
        <v>13.84</v>
      </c>
      <c r="I347" s="20">
        <v>35.08</v>
      </c>
      <c r="J347" s="20">
        <v>945.74</v>
      </c>
      <c r="K347" s="21">
        <v>943856.52</v>
      </c>
      <c r="L347" s="2"/>
    </row>
    <row r="348" spans="1:12" x14ac:dyDescent="0.25">
      <c r="A348" s="58">
        <v>46036</v>
      </c>
      <c r="B348" s="18">
        <v>0.875</v>
      </c>
      <c r="C348" s="19">
        <v>7.55</v>
      </c>
      <c r="D348" s="19">
        <v>77.510000000000005</v>
      </c>
      <c r="E348" s="19">
        <v>2.5299999999999998</v>
      </c>
      <c r="F348" s="19">
        <v>0.43</v>
      </c>
      <c r="G348" s="19">
        <v>17.39</v>
      </c>
      <c r="H348" s="20">
        <v>13.85</v>
      </c>
      <c r="I348" s="20">
        <v>35.06</v>
      </c>
      <c r="J348" s="20">
        <v>945.22</v>
      </c>
      <c r="K348" s="21">
        <v>944170.96</v>
      </c>
      <c r="L348" s="2"/>
    </row>
    <row r="349" spans="1:12" x14ac:dyDescent="0.25">
      <c r="A349" s="58">
        <v>46036</v>
      </c>
      <c r="B349" s="18">
        <v>0.91666666666666663</v>
      </c>
      <c r="C349" s="19">
        <v>7.11</v>
      </c>
      <c r="D349" s="19">
        <v>77.62</v>
      </c>
      <c r="E349" s="19">
        <v>2.99</v>
      </c>
      <c r="F349" s="19">
        <v>0.19</v>
      </c>
      <c r="G349" s="19">
        <v>17.38</v>
      </c>
      <c r="H349" s="20">
        <v>13.84</v>
      </c>
      <c r="I349" s="20">
        <v>34.880000000000003</v>
      </c>
      <c r="J349" s="20">
        <v>945.06</v>
      </c>
      <c r="K349" s="21">
        <v>951224.26</v>
      </c>
      <c r="L349" s="2"/>
    </row>
    <row r="350" spans="1:12" ht="15.75" thickBot="1" x14ac:dyDescent="0.3">
      <c r="A350" s="60">
        <v>46036</v>
      </c>
      <c r="B350" s="35">
        <v>0.95833333333333337</v>
      </c>
      <c r="C350" s="23">
        <v>7.13</v>
      </c>
      <c r="D350" s="23">
        <v>77.260000000000005</v>
      </c>
      <c r="E350" s="23">
        <v>2.9</v>
      </c>
      <c r="F350" s="23">
        <v>0.35</v>
      </c>
      <c r="G350" s="23">
        <v>17.350000000000001</v>
      </c>
      <c r="H350" s="24">
        <v>13.85</v>
      </c>
      <c r="I350" s="24">
        <v>35.14</v>
      </c>
      <c r="J350" s="24">
        <v>944.86</v>
      </c>
      <c r="K350" s="25">
        <v>944011.95</v>
      </c>
      <c r="L350" s="2"/>
    </row>
    <row r="351" spans="1:12" ht="15.75" thickBot="1" x14ac:dyDescent="0.3">
      <c r="A351" s="26" t="s">
        <v>25</v>
      </c>
      <c r="B351" s="44"/>
      <c r="C351" s="45">
        <f t="shared" ref="C351:K351" si="13">IFERROR(ROUND(AVERAGE(C327:C350), 2), "")</f>
        <v>7.28</v>
      </c>
      <c r="D351" s="45">
        <f t="shared" si="13"/>
        <v>75.680000000000007</v>
      </c>
      <c r="E351" s="45">
        <f t="shared" si="13"/>
        <v>2.2200000000000002</v>
      </c>
      <c r="F351" s="45">
        <f t="shared" si="13"/>
        <v>0.62</v>
      </c>
      <c r="G351" s="45">
        <f t="shared" si="13"/>
        <v>17.38</v>
      </c>
      <c r="H351" s="45">
        <f t="shared" si="13"/>
        <v>13.82</v>
      </c>
      <c r="I351" s="45">
        <f t="shared" si="13"/>
        <v>34.89</v>
      </c>
      <c r="J351" s="45">
        <f t="shared" si="13"/>
        <v>946.66</v>
      </c>
      <c r="K351" s="46">
        <f t="shared" si="13"/>
        <v>941477.93</v>
      </c>
      <c r="L351" s="7"/>
    </row>
    <row r="352" spans="1:12" x14ac:dyDescent="0.25">
      <c r="A352" s="57">
        <v>46037</v>
      </c>
      <c r="B352" s="14">
        <v>0</v>
      </c>
      <c r="C352" s="15">
        <v>6.74</v>
      </c>
      <c r="D352" s="15">
        <v>78.11</v>
      </c>
      <c r="E352" s="15">
        <v>2.89</v>
      </c>
      <c r="F352" s="15">
        <v>0.51</v>
      </c>
      <c r="G352" s="15">
        <v>17.38</v>
      </c>
      <c r="H352" s="16">
        <v>13.85</v>
      </c>
      <c r="I352" s="16">
        <v>34.79</v>
      </c>
      <c r="J352" s="16">
        <v>944.37</v>
      </c>
      <c r="K352" s="17">
        <v>930529.49</v>
      </c>
      <c r="L352" s="2"/>
    </row>
    <row r="353" spans="1:12" x14ac:dyDescent="0.25">
      <c r="A353" s="58">
        <v>46037</v>
      </c>
      <c r="B353" s="18">
        <v>4.1666666666666664E-2</v>
      </c>
      <c r="C353" s="19">
        <v>6.99</v>
      </c>
      <c r="D353" s="19">
        <v>76.55</v>
      </c>
      <c r="E353" s="19">
        <v>2.83</v>
      </c>
      <c r="F353" s="19">
        <v>0.33</v>
      </c>
      <c r="G353" s="19">
        <v>17.32</v>
      </c>
      <c r="H353" s="20">
        <v>13.87</v>
      </c>
      <c r="I353" s="20">
        <v>35.01</v>
      </c>
      <c r="J353" s="20">
        <v>943.59</v>
      </c>
      <c r="K353" s="21">
        <v>927014.66999999993</v>
      </c>
      <c r="L353" s="2"/>
    </row>
    <row r="354" spans="1:12" x14ac:dyDescent="0.25">
      <c r="A354" s="58">
        <v>46037</v>
      </c>
      <c r="B354" s="18">
        <v>8.3333333333333329E-2</v>
      </c>
      <c r="C354" s="19">
        <v>8.65</v>
      </c>
      <c r="D354" s="19">
        <v>76.95</v>
      </c>
      <c r="E354" s="19">
        <v>2.88</v>
      </c>
      <c r="F354" s="19">
        <v>0.28000000000000003</v>
      </c>
      <c r="G354" s="19">
        <v>17.309999999999999</v>
      </c>
      <c r="H354" s="20">
        <v>13.87</v>
      </c>
      <c r="I354" s="20">
        <v>35.020000000000003</v>
      </c>
      <c r="J354" s="20">
        <v>943.33</v>
      </c>
      <c r="K354" s="21">
        <v>928313.3899999999</v>
      </c>
      <c r="L354" s="2"/>
    </row>
    <row r="355" spans="1:12" x14ac:dyDescent="0.25">
      <c r="A355" s="58">
        <v>46037</v>
      </c>
      <c r="B355" s="18">
        <v>0.125</v>
      </c>
      <c r="C355" s="19">
        <v>6.81</v>
      </c>
      <c r="D355" s="19">
        <v>76.16</v>
      </c>
      <c r="E355" s="19">
        <v>2.6</v>
      </c>
      <c r="F355" s="19">
        <v>0.5</v>
      </c>
      <c r="G355" s="19">
        <v>17.32</v>
      </c>
      <c r="H355" s="20">
        <v>13.88</v>
      </c>
      <c r="I355" s="20">
        <v>35.01</v>
      </c>
      <c r="J355" s="20">
        <v>942.83</v>
      </c>
      <c r="K355" s="21">
        <v>928948.81</v>
      </c>
      <c r="L355" s="2"/>
    </row>
    <row r="356" spans="1:12" x14ac:dyDescent="0.25">
      <c r="A356" s="58">
        <v>46037</v>
      </c>
      <c r="B356" s="18">
        <v>0.16666666666666666</v>
      </c>
      <c r="C356" s="19">
        <v>7.69</v>
      </c>
      <c r="D356" s="19">
        <v>76.48</v>
      </c>
      <c r="E356" s="19">
        <v>2.78</v>
      </c>
      <c r="F356" s="19">
        <v>0.51</v>
      </c>
      <c r="G356" s="19">
        <v>17.350000000000001</v>
      </c>
      <c r="H356" s="20">
        <v>13.88</v>
      </c>
      <c r="I356" s="20">
        <v>34.770000000000003</v>
      </c>
      <c r="J356" s="20">
        <v>942.26</v>
      </c>
      <c r="K356" s="21">
        <v>934228.01</v>
      </c>
      <c r="L356" s="2"/>
    </row>
    <row r="357" spans="1:12" x14ac:dyDescent="0.25">
      <c r="A357" s="58">
        <v>46037</v>
      </c>
      <c r="B357" s="18">
        <v>0.20833333333333334</v>
      </c>
      <c r="C357" s="19">
        <v>6.56</v>
      </c>
      <c r="D357" s="19">
        <v>75.31</v>
      </c>
      <c r="E357" s="19">
        <v>2.15</v>
      </c>
      <c r="F357" s="19">
        <v>0.73</v>
      </c>
      <c r="G357" s="19">
        <v>17.34</v>
      </c>
      <c r="H357" s="20">
        <v>13.89</v>
      </c>
      <c r="I357" s="20">
        <v>34.92</v>
      </c>
      <c r="J357" s="20">
        <v>942.03</v>
      </c>
      <c r="K357" s="21">
        <v>939706.04</v>
      </c>
      <c r="L357" s="2"/>
    </row>
    <row r="358" spans="1:12" x14ac:dyDescent="0.25">
      <c r="A358" s="58">
        <v>46037</v>
      </c>
      <c r="B358" s="18">
        <v>0.25</v>
      </c>
      <c r="C358" s="19">
        <v>6.25</v>
      </c>
      <c r="D358" s="19">
        <v>72.39</v>
      </c>
      <c r="E358" s="19">
        <v>2.59</v>
      </c>
      <c r="F358" s="19">
        <v>1.26</v>
      </c>
      <c r="G358" s="19">
        <v>17.32</v>
      </c>
      <c r="H358" s="20">
        <v>13.88</v>
      </c>
      <c r="I358" s="20">
        <v>34.9</v>
      </c>
      <c r="J358" s="20">
        <v>942.09</v>
      </c>
      <c r="K358" s="21">
        <v>927101.1399999999</v>
      </c>
      <c r="L358" s="2"/>
    </row>
    <row r="359" spans="1:12" x14ac:dyDescent="0.25">
      <c r="A359" s="58">
        <v>46037</v>
      </c>
      <c r="B359" s="18">
        <v>0.29166666666666669</v>
      </c>
      <c r="C359" s="19">
        <v>6.65</v>
      </c>
      <c r="D359" s="19">
        <v>72.44</v>
      </c>
      <c r="E359" s="19">
        <v>2.74</v>
      </c>
      <c r="F359" s="19">
        <v>2.16</v>
      </c>
      <c r="G359" s="19">
        <v>17.29</v>
      </c>
      <c r="H359" s="20">
        <v>13.89</v>
      </c>
      <c r="I359" s="20">
        <v>35.020000000000003</v>
      </c>
      <c r="J359" s="20">
        <v>942.16</v>
      </c>
      <c r="K359" s="21">
        <v>920504.79</v>
      </c>
      <c r="L359" s="2"/>
    </row>
    <row r="360" spans="1:12" x14ac:dyDescent="0.25">
      <c r="A360" s="58">
        <v>46037</v>
      </c>
      <c r="B360" s="18">
        <v>0.33333333333333331</v>
      </c>
      <c r="C360" s="19">
        <v>7.63</v>
      </c>
      <c r="D360" s="19">
        <v>72.69</v>
      </c>
      <c r="E360" s="19">
        <v>2.96</v>
      </c>
      <c r="F360" s="19">
        <v>2.61</v>
      </c>
      <c r="G360" s="19">
        <v>17.29</v>
      </c>
      <c r="H360" s="20">
        <v>13.88</v>
      </c>
      <c r="I360" s="20">
        <v>34.979999999999997</v>
      </c>
      <c r="J360" s="20">
        <v>942.34</v>
      </c>
      <c r="K360" s="21">
        <v>917894.95</v>
      </c>
      <c r="L360" s="2"/>
    </row>
    <row r="361" spans="1:12" x14ac:dyDescent="0.25">
      <c r="A361" s="58">
        <v>46037</v>
      </c>
      <c r="B361" s="18">
        <v>0.375</v>
      </c>
      <c r="C361" s="19">
        <v>7.1</v>
      </c>
      <c r="D361" s="19">
        <v>72.42</v>
      </c>
      <c r="E361" s="19">
        <v>2.4700000000000002</v>
      </c>
      <c r="F361" s="19">
        <v>2.2400000000000002</v>
      </c>
      <c r="G361" s="19">
        <v>17.25</v>
      </c>
      <c r="H361" s="20">
        <v>13.91</v>
      </c>
      <c r="I361" s="20">
        <v>35.6</v>
      </c>
      <c r="J361" s="20">
        <v>942.76</v>
      </c>
      <c r="K361" s="21">
        <v>894914.3</v>
      </c>
      <c r="L361" s="2"/>
    </row>
    <row r="362" spans="1:12" x14ac:dyDescent="0.25">
      <c r="A362" s="58">
        <v>46037</v>
      </c>
      <c r="B362" s="18">
        <v>0.41666666666666669</v>
      </c>
      <c r="C362" s="19">
        <v>7.26</v>
      </c>
      <c r="D362" s="19">
        <v>72.400000000000006</v>
      </c>
      <c r="E362" s="19">
        <v>1.98</v>
      </c>
      <c r="F362" s="19">
        <v>2.86</v>
      </c>
      <c r="G362" s="19">
        <v>17.32</v>
      </c>
      <c r="H362" s="20">
        <v>13.91</v>
      </c>
      <c r="I362" s="20">
        <v>35.92</v>
      </c>
      <c r="J362" s="20">
        <v>943.4</v>
      </c>
      <c r="K362" s="21">
        <v>914709.07000000007</v>
      </c>
      <c r="L362" s="2"/>
    </row>
    <row r="363" spans="1:12" x14ac:dyDescent="0.25">
      <c r="A363" s="58">
        <v>46037</v>
      </c>
      <c r="B363" s="18">
        <v>0.45833333333333331</v>
      </c>
      <c r="C363" s="19">
        <v>7.23</v>
      </c>
      <c r="D363" s="19">
        <v>72.86</v>
      </c>
      <c r="E363" s="19">
        <v>2.21</v>
      </c>
      <c r="F363" s="19">
        <v>2.88</v>
      </c>
      <c r="G363" s="19">
        <v>17.32</v>
      </c>
      <c r="H363" s="20">
        <v>13.94</v>
      </c>
      <c r="I363" s="20">
        <v>36.770000000000003</v>
      </c>
      <c r="J363" s="20">
        <v>943.91</v>
      </c>
      <c r="K363" s="21">
        <v>907256.26</v>
      </c>
      <c r="L363" s="2"/>
    </row>
    <row r="364" spans="1:12" x14ac:dyDescent="0.25">
      <c r="A364" s="58">
        <v>46037</v>
      </c>
      <c r="B364" s="18">
        <v>0.5</v>
      </c>
      <c r="C364" s="19">
        <v>7.45</v>
      </c>
      <c r="D364" s="19">
        <v>72.62</v>
      </c>
      <c r="E364" s="19">
        <v>2.2799999999999998</v>
      </c>
      <c r="F364" s="19">
        <v>4.4000000000000004</v>
      </c>
      <c r="G364" s="19">
        <v>17.32</v>
      </c>
      <c r="H364" s="20">
        <v>13.97</v>
      </c>
      <c r="I364" s="20">
        <v>37.49</v>
      </c>
      <c r="J364" s="20">
        <v>944.18</v>
      </c>
      <c r="K364" s="21">
        <v>912660.37999999989</v>
      </c>
      <c r="L364" s="2"/>
    </row>
    <row r="365" spans="1:12" x14ac:dyDescent="0.25">
      <c r="A365" s="58">
        <v>46037</v>
      </c>
      <c r="B365" s="18">
        <v>0.54166666666666663</v>
      </c>
      <c r="C365" s="19">
        <v>7.12</v>
      </c>
      <c r="D365" s="19">
        <v>73.16</v>
      </c>
      <c r="E365" s="19">
        <v>2.08</v>
      </c>
      <c r="F365" s="19">
        <v>3.08</v>
      </c>
      <c r="G365" s="19">
        <v>17.329999999999998</v>
      </c>
      <c r="H365" s="20">
        <v>14</v>
      </c>
      <c r="I365" s="20">
        <v>38.19</v>
      </c>
      <c r="J365" s="20">
        <v>944.51</v>
      </c>
      <c r="K365" s="21">
        <v>911916.82000000007</v>
      </c>
      <c r="L365" s="2"/>
    </row>
    <row r="366" spans="1:12" x14ac:dyDescent="0.25">
      <c r="A366" s="58">
        <v>46037</v>
      </c>
      <c r="B366" s="18">
        <v>0.58333333333333337</v>
      </c>
      <c r="C366" s="19">
        <v>5.22</v>
      </c>
      <c r="D366" s="19">
        <v>72.180000000000007</v>
      </c>
      <c r="E366" s="19">
        <v>1.72</v>
      </c>
      <c r="F366" s="19">
        <v>4.9800000000000004</v>
      </c>
      <c r="G366" s="19">
        <v>17.34</v>
      </c>
      <c r="H366" s="20">
        <v>14.03</v>
      </c>
      <c r="I366" s="20">
        <v>38.96</v>
      </c>
      <c r="J366" s="20">
        <v>944.82</v>
      </c>
      <c r="K366" s="21">
        <v>909065.45</v>
      </c>
      <c r="L366" s="2"/>
    </row>
    <row r="367" spans="1:12" x14ac:dyDescent="0.25">
      <c r="A367" s="58">
        <v>46037</v>
      </c>
      <c r="B367" s="18">
        <v>0.625</v>
      </c>
      <c r="C367" s="19">
        <v>6.06</v>
      </c>
      <c r="D367" s="19">
        <v>71.3</v>
      </c>
      <c r="E367" s="19">
        <v>1.95</v>
      </c>
      <c r="F367" s="19">
        <v>6.23</v>
      </c>
      <c r="G367" s="19">
        <v>17.34</v>
      </c>
      <c r="H367" s="20">
        <v>14.02</v>
      </c>
      <c r="I367" s="20">
        <v>39.03</v>
      </c>
      <c r="J367" s="20">
        <v>945.34</v>
      </c>
      <c r="K367" s="21">
        <v>920375.56</v>
      </c>
      <c r="L367" s="2"/>
    </row>
    <row r="368" spans="1:12" x14ac:dyDescent="0.25">
      <c r="A368" s="58">
        <v>46037</v>
      </c>
      <c r="B368" s="18">
        <v>0.66666666666666663</v>
      </c>
      <c r="C368" s="19">
        <v>7.01</v>
      </c>
      <c r="D368" s="19">
        <v>71.42</v>
      </c>
      <c r="E368" s="19">
        <v>1.61</v>
      </c>
      <c r="F368" s="19">
        <v>7.06</v>
      </c>
      <c r="G368" s="19">
        <v>17.350000000000001</v>
      </c>
      <c r="H368" s="20">
        <v>14.01</v>
      </c>
      <c r="I368" s="20">
        <v>38.840000000000003</v>
      </c>
      <c r="J368" s="20">
        <v>946.03</v>
      </c>
      <c r="K368" s="21">
        <v>931429.3600000001</v>
      </c>
      <c r="L368" s="2"/>
    </row>
    <row r="369" spans="1:12" x14ac:dyDescent="0.25">
      <c r="A369" s="58">
        <v>46037</v>
      </c>
      <c r="B369" s="18">
        <v>0.70833333333333337</v>
      </c>
      <c r="C369" s="19">
        <v>7.16</v>
      </c>
      <c r="D369" s="19">
        <v>71.87</v>
      </c>
      <c r="E369" s="19">
        <v>1.96</v>
      </c>
      <c r="F369" s="19">
        <v>7.78</v>
      </c>
      <c r="G369" s="19">
        <v>17.36</v>
      </c>
      <c r="H369" s="20">
        <v>13.98</v>
      </c>
      <c r="I369" s="20">
        <v>38.47</v>
      </c>
      <c r="J369" s="20">
        <v>946.42</v>
      </c>
      <c r="K369" s="21">
        <v>941033.44</v>
      </c>
      <c r="L369" s="2"/>
    </row>
    <row r="370" spans="1:12" x14ac:dyDescent="0.25">
      <c r="A370" s="58">
        <v>46037</v>
      </c>
      <c r="B370" s="18">
        <v>0.75</v>
      </c>
      <c r="C370" s="19">
        <v>6.07</v>
      </c>
      <c r="D370" s="19">
        <v>71.47</v>
      </c>
      <c r="E370" s="19">
        <v>1.65</v>
      </c>
      <c r="F370" s="19">
        <v>7.66</v>
      </c>
      <c r="G370" s="19">
        <v>17.36</v>
      </c>
      <c r="H370" s="20">
        <v>13.97</v>
      </c>
      <c r="I370" s="20">
        <v>38.33</v>
      </c>
      <c r="J370" s="20">
        <v>946.85</v>
      </c>
      <c r="K370" s="21">
        <v>950187.10000000009</v>
      </c>
      <c r="L370" s="2"/>
    </row>
    <row r="371" spans="1:12" x14ac:dyDescent="0.25">
      <c r="A371" s="58">
        <v>46037</v>
      </c>
      <c r="B371" s="18">
        <v>0.79166666666666663</v>
      </c>
      <c r="C371" s="19">
        <v>7.24</v>
      </c>
      <c r="D371" s="19">
        <v>72.28</v>
      </c>
      <c r="E371" s="19">
        <v>1.76</v>
      </c>
      <c r="F371" s="19">
        <v>4.72</v>
      </c>
      <c r="G371" s="19">
        <v>17.329999999999998</v>
      </c>
      <c r="H371" s="20">
        <v>13.97</v>
      </c>
      <c r="I371" s="20">
        <v>38.49</v>
      </c>
      <c r="J371" s="20">
        <v>947.24</v>
      </c>
      <c r="K371" s="21">
        <v>954953.46</v>
      </c>
      <c r="L371" s="2"/>
    </row>
    <row r="372" spans="1:12" x14ac:dyDescent="0.25">
      <c r="A372" s="58">
        <v>46037</v>
      </c>
      <c r="B372" s="18">
        <v>0.83333333333333337</v>
      </c>
      <c r="C372" s="19">
        <v>5.81</v>
      </c>
      <c r="D372" s="19">
        <v>71.88</v>
      </c>
      <c r="E372" s="19">
        <v>2.4300000000000002</v>
      </c>
      <c r="F372" s="19">
        <v>4.95</v>
      </c>
      <c r="G372" s="19">
        <v>17.32</v>
      </c>
      <c r="H372" s="20">
        <v>13.95</v>
      </c>
      <c r="I372" s="20">
        <v>38.25</v>
      </c>
      <c r="J372" s="20">
        <v>947.81</v>
      </c>
      <c r="K372" s="21">
        <v>943586.44</v>
      </c>
      <c r="L372" s="2"/>
    </row>
    <row r="373" spans="1:12" x14ac:dyDescent="0.25">
      <c r="A373" s="58">
        <v>46037</v>
      </c>
      <c r="B373" s="18">
        <v>0.875</v>
      </c>
      <c r="C373" s="19">
        <v>5.51</v>
      </c>
      <c r="D373" s="19">
        <v>71.94</v>
      </c>
      <c r="E373" s="19">
        <v>2.5</v>
      </c>
      <c r="F373" s="19">
        <v>5.39</v>
      </c>
      <c r="G373" s="19">
        <v>17.329999999999998</v>
      </c>
      <c r="H373" s="20">
        <v>13.95</v>
      </c>
      <c r="I373" s="20">
        <v>38.200000000000003</v>
      </c>
      <c r="J373" s="20">
        <v>948.2</v>
      </c>
      <c r="K373" s="21">
        <v>938766.82000000007</v>
      </c>
      <c r="L373" s="2"/>
    </row>
    <row r="374" spans="1:12" x14ac:dyDescent="0.25">
      <c r="A374" s="58">
        <v>46037</v>
      </c>
      <c r="B374" s="18">
        <v>0.91666666666666663</v>
      </c>
      <c r="C374" s="19">
        <v>6.37</v>
      </c>
      <c r="D374" s="19">
        <v>72.37</v>
      </c>
      <c r="E374" s="19">
        <v>2.67</v>
      </c>
      <c r="F374" s="19">
        <v>4.0599999999999996</v>
      </c>
      <c r="G374" s="19">
        <v>17.350000000000001</v>
      </c>
      <c r="H374" s="20">
        <v>13.94</v>
      </c>
      <c r="I374" s="20">
        <v>38.130000000000003</v>
      </c>
      <c r="J374" s="20">
        <v>948.6</v>
      </c>
      <c r="K374" s="21">
        <v>943007.7</v>
      </c>
      <c r="L374" s="2"/>
    </row>
    <row r="375" spans="1:12" ht="15.75" thickBot="1" x14ac:dyDescent="0.3">
      <c r="A375" s="60">
        <v>46037</v>
      </c>
      <c r="B375" s="35">
        <v>0.95833333333333337</v>
      </c>
      <c r="C375" s="23">
        <v>6.17</v>
      </c>
      <c r="D375" s="23">
        <v>73.180000000000007</v>
      </c>
      <c r="E375" s="23">
        <v>2.08</v>
      </c>
      <c r="F375" s="23">
        <v>2.4900000000000002</v>
      </c>
      <c r="G375" s="23">
        <v>17.37</v>
      </c>
      <c r="H375" s="24">
        <v>13.92</v>
      </c>
      <c r="I375" s="24">
        <v>37.909999999999997</v>
      </c>
      <c r="J375" s="24">
        <v>948.82</v>
      </c>
      <c r="K375" s="25">
        <v>938148.27</v>
      </c>
      <c r="L375" s="2"/>
    </row>
    <row r="376" spans="1:12" ht="15.75" thickBot="1" x14ac:dyDescent="0.3">
      <c r="A376" s="26" t="s">
        <v>26</v>
      </c>
      <c r="B376" s="44"/>
      <c r="C376" s="45">
        <f t="shared" ref="C376:K376" si="14">IFERROR(ROUND(AVERAGE(C352:C375), 2), "")</f>
        <v>6.78</v>
      </c>
      <c r="D376" s="45">
        <f t="shared" si="14"/>
        <v>73.349999999999994</v>
      </c>
      <c r="E376" s="45">
        <f t="shared" si="14"/>
        <v>2.3199999999999998</v>
      </c>
      <c r="F376" s="45">
        <f t="shared" si="14"/>
        <v>3.32</v>
      </c>
      <c r="G376" s="45">
        <f t="shared" si="14"/>
        <v>17.329999999999998</v>
      </c>
      <c r="H376" s="45">
        <f t="shared" si="14"/>
        <v>13.93</v>
      </c>
      <c r="I376" s="45">
        <f t="shared" si="14"/>
        <v>36.79</v>
      </c>
      <c r="J376" s="45">
        <f t="shared" si="14"/>
        <v>944.75</v>
      </c>
      <c r="K376" s="46">
        <f t="shared" si="14"/>
        <v>927760.49</v>
      </c>
      <c r="L376" s="7"/>
    </row>
    <row r="377" spans="1:12" x14ac:dyDescent="0.25">
      <c r="A377" s="57">
        <v>46038</v>
      </c>
      <c r="B377" s="14">
        <v>0</v>
      </c>
      <c r="C377" s="15">
        <v>6.31</v>
      </c>
      <c r="D377" s="15">
        <v>73.41</v>
      </c>
      <c r="E377" s="15">
        <v>2.2200000000000002</v>
      </c>
      <c r="F377" s="15">
        <v>1.26</v>
      </c>
      <c r="G377" s="15">
        <v>17.39</v>
      </c>
      <c r="H377" s="16">
        <v>13.93</v>
      </c>
      <c r="I377" s="16">
        <v>37.99</v>
      </c>
      <c r="J377" s="16">
        <v>948.8</v>
      </c>
      <c r="K377" s="17">
        <v>961150.45</v>
      </c>
      <c r="L377" s="2"/>
    </row>
    <row r="378" spans="1:12" x14ac:dyDescent="0.25">
      <c r="A378" s="58">
        <v>46038</v>
      </c>
      <c r="B378" s="18">
        <v>4.1666666666666664E-2</v>
      </c>
      <c r="C378" s="19">
        <v>6.53</v>
      </c>
      <c r="D378" s="19">
        <v>74.069999999999993</v>
      </c>
      <c r="E378" s="19">
        <v>2.35</v>
      </c>
      <c r="F378" s="19">
        <v>1.96</v>
      </c>
      <c r="G378" s="19">
        <v>17.39</v>
      </c>
      <c r="H378" s="20">
        <v>13.93</v>
      </c>
      <c r="I378" s="20">
        <v>38.06</v>
      </c>
      <c r="J378" s="20">
        <v>948.59</v>
      </c>
      <c r="K378" s="21">
        <v>963702.51</v>
      </c>
      <c r="L378" s="2"/>
    </row>
    <row r="379" spans="1:12" x14ac:dyDescent="0.25">
      <c r="A379" s="58">
        <v>46038</v>
      </c>
      <c r="B379" s="18">
        <v>8.3333333333333329E-2</v>
      </c>
      <c r="C379" s="19">
        <v>5.99</v>
      </c>
      <c r="D379" s="19">
        <v>73.2</v>
      </c>
      <c r="E379" s="19">
        <v>2.38</v>
      </c>
      <c r="F379" s="19">
        <v>1.92</v>
      </c>
      <c r="G379" s="19">
        <v>17.399999999999999</v>
      </c>
      <c r="H379" s="20">
        <v>13.92</v>
      </c>
      <c r="I379" s="20">
        <v>37.96</v>
      </c>
      <c r="J379" s="20">
        <v>948.99</v>
      </c>
      <c r="K379" s="21">
        <v>963518.54</v>
      </c>
      <c r="L379" s="2"/>
    </row>
    <row r="380" spans="1:12" x14ac:dyDescent="0.25">
      <c r="A380" s="58">
        <v>46038</v>
      </c>
      <c r="B380" s="18">
        <v>0.125</v>
      </c>
      <c r="C380" s="19">
        <v>5.82</v>
      </c>
      <c r="D380" s="19">
        <v>73.510000000000005</v>
      </c>
      <c r="E380" s="19">
        <v>2.34</v>
      </c>
      <c r="F380" s="19">
        <v>2.62</v>
      </c>
      <c r="G380" s="19">
        <v>17.41</v>
      </c>
      <c r="H380" s="20">
        <v>13.92</v>
      </c>
      <c r="I380" s="20">
        <v>37.99</v>
      </c>
      <c r="J380" s="20">
        <v>949.2</v>
      </c>
      <c r="K380" s="21">
        <v>975718.12999999989</v>
      </c>
      <c r="L380" s="2"/>
    </row>
    <row r="381" spans="1:12" x14ac:dyDescent="0.25">
      <c r="A381" s="58">
        <v>46038</v>
      </c>
      <c r="B381" s="18">
        <v>0.16666666666666666</v>
      </c>
      <c r="C381" s="19">
        <v>6.61</v>
      </c>
      <c r="D381" s="19">
        <v>73.86</v>
      </c>
      <c r="E381" s="19">
        <v>2.17</v>
      </c>
      <c r="F381" s="19">
        <v>2.42</v>
      </c>
      <c r="G381" s="19">
        <v>17.420000000000002</v>
      </c>
      <c r="H381" s="20">
        <v>13.91</v>
      </c>
      <c r="I381" s="20">
        <v>37.89</v>
      </c>
      <c r="J381" s="20">
        <v>949.43</v>
      </c>
      <c r="K381" s="21">
        <v>979622.49</v>
      </c>
      <c r="L381" s="2"/>
    </row>
    <row r="382" spans="1:12" x14ac:dyDescent="0.25">
      <c r="A382" s="58">
        <v>46038</v>
      </c>
      <c r="B382" s="18">
        <v>0.20833333333333334</v>
      </c>
      <c r="C382" s="19">
        <v>7.88</v>
      </c>
      <c r="D382" s="19">
        <v>74.989999999999995</v>
      </c>
      <c r="E382" s="19">
        <v>2.1</v>
      </c>
      <c r="F382" s="19">
        <v>0.9</v>
      </c>
      <c r="G382" s="19">
        <v>17.39</v>
      </c>
      <c r="H382" s="20">
        <v>13.91</v>
      </c>
      <c r="I382" s="20">
        <v>37.799999999999997</v>
      </c>
      <c r="J382" s="20">
        <v>949.55</v>
      </c>
      <c r="K382" s="21">
        <v>991850.12999999989</v>
      </c>
      <c r="L382" s="2"/>
    </row>
    <row r="383" spans="1:12" x14ac:dyDescent="0.25">
      <c r="A383" s="58">
        <v>46038</v>
      </c>
      <c r="B383" s="18">
        <v>0.25</v>
      </c>
      <c r="C383" s="19">
        <v>6.45</v>
      </c>
      <c r="D383" s="19">
        <v>74.75</v>
      </c>
      <c r="E383" s="19">
        <v>2.4900000000000002</v>
      </c>
      <c r="F383" s="19">
        <v>2.02</v>
      </c>
      <c r="G383" s="19">
        <v>17.420000000000002</v>
      </c>
      <c r="H383" s="20">
        <v>13.89</v>
      </c>
      <c r="I383" s="20">
        <v>37.47</v>
      </c>
      <c r="J383" s="20">
        <v>950.06</v>
      </c>
      <c r="K383" s="21">
        <v>1025648.6699999999</v>
      </c>
      <c r="L383" s="2"/>
    </row>
    <row r="384" spans="1:12" x14ac:dyDescent="0.25">
      <c r="A384" s="58">
        <v>46038</v>
      </c>
      <c r="B384" s="18">
        <v>0.29166666666666669</v>
      </c>
      <c r="C384" s="19">
        <v>4.3499999999999996</v>
      </c>
      <c r="D384" s="19">
        <v>75.56</v>
      </c>
      <c r="E384" s="19">
        <v>2.35</v>
      </c>
      <c r="F384" s="19">
        <v>0.82</v>
      </c>
      <c r="G384" s="19">
        <v>17.41</v>
      </c>
      <c r="H384" s="20">
        <v>13.85</v>
      </c>
      <c r="I384" s="20">
        <v>36.89</v>
      </c>
      <c r="J384" s="20">
        <v>950.57</v>
      </c>
      <c r="K384" s="21">
        <v>1059653.02</v>
      </c>
      <c r="L384" s="2"/>
    </row>
    <row r="385" spans="1:12" x14ac:dyDescent="0.25">
      <c r="A385" s="58">
        <v>46038</v>
      </c>
      <c r="B385" s="18">
        <v>0.33333333333333331</v>
      </c>
      <c r="C385" s="19">
        <v>5.69</v>
      </c>
      <c r="D385" s="19">
        <v>76.819999999999993</v>
      </c>
      <c r="E385" s="19">
        <v>2.69</v>
      </c>
      <c r="F385" s="19">
        <v>0.52</v>
      </c>
      <c r="G385" s="19">
        <v>17.43</v>
      </c>
      <c r="H385" s="20">
        <v>13.81</v>
      </c>
      <c r="I385" s="20">
        <v>36.200000000000003</v>
      </c>
      <c r="J385" s="20">
        <v>951.35</v>
      </c>
      <c r="K385" s="21">
        <v>1059811.55</v>
      </c>
      <c r="L385" s="2"/>
    </row>
    <row r="386" spans="1:12" x14ac:dyDescent="0.25">
      <c r="A386" s="58">
        <v>46038</v>
      </c>
      <c r="B386" s="18">
        <v>0.375</v>
      </c>
      <c r="C386" s="19">
        <v>6.65</v>
      </c>
      <c r="D386" s="19">
        <v>76.569999999999993</v>
      </c>
      <c r="E386" s="19">
        <v>2.2799999999999998</v>
      </c>
      <c r="F386" s="19">
        <v>0.59</v>
      </c>
      <c r="G386" s="19">
        <v>17.45</v>
      </c>
      <c r="H386" s="20">
        <v>13.77</v>
      </c>
      <c r="I386" s="20">
        <v>35.64</v>
      </c>
      <c r="J386" s="20">
        <v>952.2</v>
      </c>
      <c r="K386" s="21">
        <v>1040290.8200000001</v>
      </c>
      <c r="L386" s="2"/>
    </row>
    <row r="387" spans="1:12" x14ac:dyDescent="0.25">
      <c r="A387" s="58">
        <v>46038</v>
      </c>
      <c r="B387" s="18">
        <v>0.41666666666666669</v>
      </c>
      <c r="C387" s="19">
        <v>6.83</v>
      </c>
      <c r="D387" s="19">
        <v>77.45</v>
      </c>
      <c r="E387" s="19">
        <v>2.3199999999999998</v>
      </c>
      <c r="F387" s="19">
        <v>0.2</v>
      </c>
      <c r="G387" s="19">
        <v>17.440000000000001</v>
      </c>
      <c r="H387" s="20">
        <v>13.75</v>
      </c>
      <c r="I387" s="20">
        <v>35.380000000000003</v>
      </c>
      <c r="J387" s="20">
        <v>952.99</v>
      </c>
      <c r="K387" s="21">
        <v>1038824.51</v>
      </c>
      <c r="L387" s="2"/>
    </row>
    <row r="388" spans="1:12" x14ac:dyDescent="0.25">
      <c r="A388" s="58">
        <v>46038</v>
      </c>
      <c r="B388" s="18">
        <v>0.45833333333333331</v>
      </c>
      <c r="C388" s="19">
        <v>8.3699999999999992</v>
      </c>
      <c r="D388" s="19">
        <v>77.930000000000007</v>
      </c>
      <c r="E388" s="19">
        <v>1.65</v>
      </c>
      <c r="F388" s="19">
        <v>0.27</v>
      </c>
      <c r="G388" s="19">
        <v>17.420000000000002</v>
      </c>
      <c r="H388" s="20">
        <v>13.75</v>
      </c>
      <c r="I388" s="20">
        <v>35.700000000000003</v>
      </c>
      <c r="J388" s="20">
        <v>953.42</v>
      </c>
      <c r="K388" s="21">
        <v>1041196.1799999999</v>
      </c>
      <c r="L388" s="2"/>
    </row>
    <row r="389" spans="1:12" x14ac:dyDescent="0.25">
      <c r="A389" s="58">
        <v>46038</v>
      </c>
      <c r="B389" s="18">
        <v>0.5</v>
      </c>
      <c r="C389" s="19">
        <v>8.1999999999999993</v>
      </c>
      <c r="D389" s="19">
        <v>78.53</v>
      </c>
      <c r="E389" s="19">
        <v>1.65</v>
      </c>
      <c r="F389" s="19">
        <v>0.19</v>
      </c>
      <c r="G389" s="19">
        <v>17.43</v>
      </c>
      <c r="H389" s="20">
        <v>13.76</v>
      </c>
      <c r="I389" s="20">
        <v>35.880000000000003</v>
      </c>
      <c r="J389" s="20">
        <v>953.55</v>
      </c>
      <c r="K389" s="21">
        <v>1031599.25</v>
      </c>
      <c r="L389" s="2"/>
    </row>
    <row r="390" spans="1:12" x14ac:dyDescent="0.25">
      <c r="A390" s="58">
        <v>46038</v>
      </c>
      <c r="B390" s="18">
        <v>0.54166666666666663</v>
      </c>
      <c r="C390" s="19">
        <v>7.97</v>
      </c>
      <c r="D390" s="19">
        <v>78.930000000000007</v>
      </c>
      <c r="E390" s="19">
        <v>1.5</v>
      </c>
      <c r="F390" s="19">
        <v>0.08</v>
      </c>
      <c r="G390" s="19">
        <v>17.420000000000002</v>
      </c>
      <c r="H390" s="20">
        <v>13.77</v>
      </c>
      <c r="I390" s="20">
        <v>36.04</v>
      </c>
      <c r="J390" s="20">
        <v>953.69</v>
      </c>
      <c r="K390" s="21">
        <v>1033623.6200000001</v>
      </c>
      <c r="L390" s="2"/>
    </row>
    <row r="391" spans="1:12" x14ac:dyDescent="0.25">
      <c r="A391" s="58">
        <v>46038</v>
      </c>
      <c r="B391" s="18">
        <v>0.58333333333333337</v>
      </c>
      <c r="C391" s="19">
        <v>7.56</v>
      </c>
      <c r="D391" s="19">
        <v>76.58</v>
      </c>
      <c r="E391" s="19">
        <v>1.73</v>
      </c>
      <c r="F391" s="19">
        <v>0.69</v>
      </c>
      <c r="G391" s="19">
        <v>17.420000000000002</v>
      </c>
      <c r="H391" s="20">
        <v>13.76</v>
      </c>
      <c r="I391" s="20">
        <v>35.880000000000003</v>
      </c>
      <c r="J391" s="20">
        <v>953.88</v>
      </c>
      <c r="K391" s="21">
        <v>1026846.45</v>
      </c>
      <c r="L391" s="2"/>
    </row>
    <row r="392" spans="1:12" x14ac:dyDescent="0.25">
      <c r="A392" s="58">
        <v>46038</v>
      </c>
      <c r="B392" s="18">
        <v>0.625</v>
      </c>
      <c r="C392" s="19">
        <v>6.64</v>
      </c>
      <c r="D392" s="19">
        <v>75.08</v>
      </c>
      <c r="E392" s="19">
        <v>2.0099999999999998</v>
      </c>
      <c r="F392" s="19">
        <v>0.78</v>
      </c>
      <c r="G392" s="19">
        <v>17.440000000000001</v>
      </c>
      <c r="H392" s="20">
        <v>13.74</v>
      </c>
      <c r="I392" s="20">
        <v>35.61</v>
      </c>
      <c r="J392" s="20">
        <v>954.44</v>
      </c>
      <c r="K392" s="21">
        <v>1014971.48</v>
      </c>
      <c r="L392" s="2"/>
    </row>
    <row r="393" spans="1:12" x14ac:dyDescent="0.25">
      <c r="A393" s="58">
        <v>46038</v>
      </c>
      <c r="B393" s="18">
        <v>0.66666666666666663</v>
      </c>
      <c r="C393" s="19">
        <v>6.85</v>
      </c>
      <c r="D393" s="19">
        <v>73.92</v>
      </c>
      <c r="E393" s="19">
        <v>1.83</v>
      </c>
      <c r="F393" s="19">
        <v>0.89</v>
      </c>
      <c r="G393" s="19">
        <v>17.43</v>
      </c>
      <c r="H393" s="20">
        <v>13.71</v>
      </c>
      <c r="I393" s="20">
        <v>35.21</v>
      </c>
      <c r="J393" s="20">
        <v>955.07</v>
      </c>
      <c r="K393" s="21">
        <v>994539.17999999993</v>
      </c>
      <c r="L393" s="2"/>
    </row>
    <row r="394" spans="1:12" x14ac:dyDescent="0.25">
      <c r="A394" s="58">
        <v>46038</v>
      </c>
      <c r="B394" s="18">
        <v>0.70833333333333337</v>
      </c>
      <c r="C394" s="19">
        <v>6.77</v>
      </c>
      <c r="D394" s="19">
        <v>73.73</v>
      </c>
      <c r="E394" s="19">
        <v>1.58</v>
      </c>
      <c r="F394" s="19">
        <v>2.04</v>
      </c>
      <c r="G394" s="19">
        <v>17.43</v>
      </c>
      <c r="H394" s="20">
        <v>13.7</v>
      </c>
      <c r="I394" s="20">
        <v>35.14</v>
      </c>
      <c r="J394" s="20">
        <v>955.46</v>
      </c>
      <c r="K394" s="21">
        <v>990392.06</v>
      </c>
      <c r="L394" s="2"/>
    </row>
    <row r="395" spans="1:12" x14ac:dyDescent="0.25">
      <c r="A395" s="58">
        <v>46038</v>
      </c>
      <c r="B395" s="18">
        <v>0.75</v>
      </c>
      <c r="C395" s="19">
        <v>7.39</v>
      </c>
      <c r="D395" s="19">
        <v>73.67</v>
      </c>
      <c r="E395" s="19">
        <v>1.6</v>
      </c>
      <c r="F395" s="19">
        <v>1.56</v>
      </c>
      <c r="G395" s="19">
        <v>17.43</v>
      </c>
      <c r="H395" s="20">
        <v>13.69</v>
      </c>
      <c r="I395" s="20">
        <v>35.119999999999997</v>
      </c>
      <c r="J395" s="20">
        <v>955.92</v>
      </c>
      <c r="K395" s="21">
        <v>971946.05</v>
      </c>
      <c r="L395" s="2"/>
    </row>
    <row r="396" spans="1:12" x14ac:dyDescent="0.25">
      <c r="A396" s="58">
        <v>46038</v>
      </c>
      <c r="B396" s="18">
        <v>0.79166666666666663</v>
      </c>
      <c r="C396" s="19">
        <v>6.66</v>
      </c>
      <c r="D396" s="19">
        <v>74.17</v>
      </c>
      <c r="E396" s="19">
        <v>1.39</v>
      </c>
      <c r="F396" s="19">
        <v>2.71</v>
      </c>
      <c r="G396" s="19">
        <v>17.45</v>
      </c>
      <c r="H396" s="20">
        <v>13.68</v>
      </c>
      <c r="I396" s="20">
        <v>34.979999999999997</v>
      </c>
      <c r="J396" s="20">
        <v>956.28</v>
      </c>
      <c r="K396" s="21">
        <v>966895.57000000007</v>
      </c>
      <c r="L396" s="2"/>
    </row>
    <row r="397" spans="1:12" x14ac:dyDescent="0.25">
      <c r="A397" s="58">
        <v>46038</v>
      </c>
      <c r="B397" s="18">
        <v>0.83333333333333337</v>
      </c>
      <c r="C397" s="19">
        <v>7.52</v>
      </c>
      <c r="D397" s="19">
        <v>74.52</v>
      </c>
      <c r="E397" s="19">
        <v>1.56</v>
      </c>
      <c r="F397" s="19">
        <v>2.54</v>
      </c>
      <c r="G397" s="19">
        <v>17.43</v>
      </c>
      <c r="H397" s="20">
        <v>13.67</v>
      </c>
      <c r="I397" s="20">
        <v>34.72</v>
      </c>
      <c r="J397" s="20">
        <v>956.62</v>
      </c>
      <c r="K397" s="21">
        <v>975512.45</v>
      </c>
      <c r="L397" s="2"/>
    </row>
    <row r="398" spans="1:12" x14ac:dyDescent="0.25">
      <c r="A398" s="58">
        <v>46038</v>
      </c>
      <c r="B398" s="18">
        <v>0.875</v>
      </c>
      <c r="C398" s="19">
        <v>7.09</v>
      </c>
      <c r="D398" s="19">
        <v>73.97</v>
      </c>
      <c r="E398" s="19">
        <v>1.37</v>
      </c>
      <c r="F398" s="19">
        <v>2.74</v>
      </c>
      <c r="G398" s="19">
        <v>17.43</v>
      </c>
      <c r="H398" s="20">
        <v>13.65</v>
      </c>
      <c r="I398" s="20">
        <v>34.56</v>
      </c>
      <c r="J398" s="20">
        <v>957.05</v>
      </c>
      <c r="K398" s="21">
        <v>970206.60000000009</v>
      </c>
      <c r="L398" s="2"/>
    </row>
    <row r="399" spans="1:12" x14ac:dyDescent="0.25">
      <c r="A399" s="58">
        <v>46038</v>
      </c>
      <c r="B399" s="18">
        <v>0.91666666666666663</v>
      </c>
      <c r="C399" s="19">
        <v>7.04</v>
      </c>
      <c r="D399" s="19">
        <v>74.44</v>
      </c>
      <c r="E399" s="19">
        <v>1.52</v>
      </c>
      <c r="F399" s="19">
        <v>3.32</v>
      </c>
      <c r="G399" s="19">
        <v>17.440000000000001</v>
      </c>
      <c r="H399" s="20">
        <v>13.64</v>
      </c>
      <c r="I399" s="20">
        <v>34.39</v>
      </c>
      <c r="J399" s="20">
        <v>957.41</v>
      </c>
      <c r="K399" s="21">
        <v>983366.08000000007</v>
      </c>
      <c r="L399" s="2"/>
    </row>
    <row r="400" spans="1:12" ht="15.75" thickBot="1" x14ac:dyDescent="0.3">
      <c r="A400" s="60">
        <v>46038</v>
      </c>
      <c r="B400" s="35">
        <v>0.95833333333333337</v>
      </c>
      <c r="C400" s="23">
        <v>6.63</v>
      </c>
      <c r="D400" s="23">
        <v>74.53</v>
      </c>
      <c r="E400" s="23">
        <v>1.71</v>
      </c>
      <c r="F400" s="23">
        <v>2.79</v>
      </c>
      <c r="G400" s="23">
        <v>17.440000000000001</v>
      </c>
      <c r="H400" s="24">
        <v>13.62</v>
      </c>
      <c r="I400" s="24">
        <v>34.119999999999997</v>
      </c>
      <c r="J400" s="24">
        <v>957.62</v>
      </c>
      <c r="K400" s="25">
        <v>986057.55</v>
      </c>
      <c r="L400" s="2"/>
    </row>
    <row r="401" spans="1:12" ht="15.75" thickBot="1" x14ac:dyDescent="0.3">
      <c r="A401" s="26" t="s">
        <v>27</v>
      </c>
      <c r="B401" s="44"/>
      <c r="C401" s="45">
        <f t="shared" ref="C401:K401" si="15">IFERROR(ROUND(AVERAGE(C377:C400), 2), "")</f>
        <v>6.83</v>
      </c>
      <c r="D401" s="45">
        <f t="shared" si="15"/>
        <v>75.17</v>
      </c>
      <c r="E401" s="45">
        <f t="shared" si="15"/>
        <v>1.95</v>
      </c>
      <c r="F401" s="45">
        <f t="shared" si="15"/>
        <v>1.49</v>
      </c>
      <c r="G401" s="45">
        <f t="shared" si="15"/>
        <v>17.420000000000002</v>
      </c>
      <c r="H401" s="45">
        <f t="shared" si="15"/>
        <v>13.78</v>
      </c>
      <c r="I401" s="45">
        <f t="shared" si="15"/>
        <v>36.11</v>
      </c>
      <c r="J401" s="45">
        <f t="shared" si="15"/>
        <v>953.01</v>
      </c>
      <c r="K401" s="46">
        <f t="shared" si="15"/>
        <v>1001955.97</v>
      </c>
      <c r="L401" s="7"/>
    </row>
    <row r="402" spans="1:12" x14ac:dyDescent="0.25">
      <c r="A402" s="57">
        <v>46039</v>
      </c>
      <c r="B402" s="14">
        <v>0</v>
      </c>
      <c r="C402" s="15">
        <v>7.31</v>
      </c>
      <c r="D402" s="15">
        <v>74.53</v>
      </c>
      <c r="E402" s="15">
        <v>1.95</v>
      </c>
      <c r="F402" s="15">
        <v>3.11</v>
      </c>
      <c r="G402" s="15">
        <v>17.45</v>
      </c>
      <c r="H402" s="16">
        <v>13.62</v>
      </c>
      <c r="I402" s="16">
        <v>33.92</v>
      </c>
      <c r="J402" s="16">
        <v>957.59</v>
      </c>
      <c r="K402" s="17">
        <v>992437.35000000009</v>
      </c>
      <c r="L402" s="2"/>
    </row>
    <row r="403" spans="1:12" x14ac:dyDescent="0.25">
      <c r="A403" s="58">
        <v>46039</v>
      </c>
      <c r="B403" s="18">
        <v>4.1666666666666664E-2</v>
      </c>
      <c r="C403" s="19">
        <v>6.49</v>
      </c>
      <c r="D403" s="19">
        <v>75.2</v>
      </c>
      <c r="E403" s="19">
        <v>1.76</v>
      </c>
      <c r="F403" s="19">
        <v>2.2200000000000002</v>
      </c>
      <c r="G403" s="19">
        <v>17.46</v>
      </c>
      <c r="H403" s="20">
        <v>13.6</v>
      </c>
      <c r="I403" s="20">
        <v>33.57</v>
      </c>
      <c r="J403" s="20">
        <v>957.55</v>
      </c>
      <c r="K403" s="21">
        <v>992874.53</v>
      </c>
      <c r="L403" s="2"/>
    </row>
    <row r="404" spans="1:12" x14ac:dyDescent="0.25">
      <c r="A404" s="58">
        <v>46039</v>
      </c>
      <c r="B404" s="18">
        <v>8.3333333333333329E-2</v>
      </c>
      <c r="C404" s="19">
        <v>6.71</v>
      </c>
      <c r="D404" s="19">
        <v>74.98</v>
      </c>
      <c r="E404" s="19">
        <v>1.63</v>
      </c>
      <c r="F404" s="19">
        <v>1.55</v>
      </c>
      <c r="G404" s="19">
        <v>17.47</v>
      </c>
      <c r="H404" s="20">
        <v>13.59</v>
      </c>
      <c r="I404" s="20">
        <v>33.28</v>
      </c>
      <c r="J404" s="20">
        <v>957.66</v>
      </c>
      <c r="K404" s="21">
        <v>998592.2</v>
      </c>
      <c r="L404" s="2"/>
    </row>
    <row r="405" spans="1:12" x14ac:dyDescent="0.25">
      <c r="A405" s="58">
        <v>46039</v>
      </c>
      <c r="B405" s="18">
        <v>0.125</v>
      </c>
      <c r="C405" s="19">
        <v>7.39</v>
      </c>
      <c r="D405" s="19">
        <v>74.959999999999994</v>
      </c>
      <c r="E405" s="19">
        <v>1.66</v>
      </c>
      <c r="F405" s="19">
        <v>1.05</v>
      </c>
      <c r="G405" s="19">
        <v>17.46</v>
      </c>
      <c r="H405" s="20">
        <v>13.58</v>
      </c>
      <c r="I405" s="20">
        <v>33.03</v>
      </c>
      <c r="J405" s="20">
        <v>957.55</v>
      </c>
      <c r="K405" s="21">
        <v>995365.3</v>
      </c>
      <c r="L405" s="2"/>
    </row>
    <row r="406" spans="1:12" x14ac:dyDescent="0.25">
      <c r="A406" s="58">
        <v>46039</v>
      </c>
      <c r="B406" s="18">
        <v>0.16666666666666666</v>
      </c>
      <c r="C406" s="19">
        <v>7.48</v>
      </c>
      <c r="D406" s="19">
        <v>75.14</v>
      </c>
      <c r="E406" s="19">
        <v>1.63</v>
      </c>
      <c r="F406" s="19">
        <v>1.17</v>
      </c>
      <c r="G406" s="19">
        <v>17.47</v>
      </c>
      <c r="H406" s="20">
        <v>13.56</v>
      </c>
      <c r="I406" s="20">
        <v>32.75</v>
      </c>
      <c r="J406" s="20">
        <v>957.52</v>
      </c>
      <c r="K406" s="21">
        <v>1006121.25</v>
      </c>
      <c r="L406" s="2"/>
    </row>
    <row r="407" spans="1:12" x14ac:dyDescent="0.25">
      <c r="A407" s="58">
        <v>46039</v>
      </c>
      <c r="B407" s="18">
        <v>0.20833333333333334</v>
      </c>
      <c r="C407" s="19">
        <v>6.66</v>
      </c>
      <c r="D407" s="19">
        <v>74.58</v>
      </c>
      <c r="E407" s="19">
        <v>1.71</v>
      </c>
      <c r="F407" s="19">
        <v>0.79</v>
      </c>
      <c r="G407" s="19">
        <v>17.489999999999998</v>
      </c>
      <c r="H407" s="20">
        <v>13.55</v>
      </c>
      <c r="I407" s="20">
        <v>32.369999999999997</v>
      </c>
      <c r="J407" s="20">
        <v>957.71</v>
      </c>
      <c r="K407" s="21">
        <v>1010724.3999999999</v>
      </c>
      <c r="L407" s="2"/>
    </row>
    <row r="408" spans="1:12" x14ac:dyDescent="0.25">
      <c r="A408" s="58">
        <v>46039</v>
      </c>
      <c r="B408" s="18">
        <v>0.25</v>
      </c>
      <c r="C408" s="19">
        <v>7.3</v>
      </c>
      <c r="D408" s="19">
        <v>75.22</v>
      </c>
      <c r="E408" s="19">
        <v>1.67</v>
      </c>
      <c r="F408" s="19">
        <v>0.48</v>
      </c>
      <c r="G408" s="19">
        <v>17.48</v>
      </c>
      <c r="H408" s="20">
        <v>13.53</v>
      </c>
      <c r="I408" s="20">
        <v>32.07</v>
      </c>
      <c r="J408" s="20">
        <v>957.74</v>
      </c>
      <c r="K408" s="21">
        <v>1013493.74</v>
      </c>
      <c r="L408" s="2"/>
    </row>
    <row r="409" spans="1:12" x14ac:dyDescent="0.25">
      <c r="A409" s="58">
        <v>46039</v>
      </c>
      <c r="B409" s="18">
        <v>0.29166666666666669</v>
      </c>
      <c r="C409" s="19">
        <v>6.47</v>
      </c>
      <c r="D409" s="19">
        <v>75.900000000000006</v>
      </c>
      <c r="E409" s="19">
        <v>1.45</v>
      </c>
      <c r="F409" s="19">
        <v>0.52</v>
      </c>
      <c r="G409" s="19">
        <v>17.5</v>
      </c>
      <c r="H409" s="20">
        <v>13.53</v>
      </c>
      <c r="I409" s="20">
        <v>31.99</v>
      </c>
      <c r="J409" s="20">
        <v>957.78</v>
      </c>
      <c r="K409" s="21">
        <v>1025705.25</v>
      </c>
      <c r="L409" s="2"/>
    </row>
    <row r="410" spans="1:12" x14ac:dyDescent="0.25">
      <c r="A410" s="58">
        <v>46039</v>
      </c>
      <c r="B410" s="18">
        <v>0.33333333333333331</v>
      </c>
      <c r="C410" s="19">
        <v>6.76</v>
      </c>
      <c r="D410" s="19">
        <v>75.55</v>
      </c>
      <c r="E410" s="19">
        <v>1.44</v>
      </c>
      <c r="F410" s="19">
        <v>0.64</v>
      </c>
      <c r="G410" s="19">
        <v>17.489999999999998</v>
      </c>
      <c r="H410" s="20">
        <v>13.52</v>
      </c>
      <c r="I410" s="20">
        <v>31.87</v>
      </c>
      <c r="J410" s="20">
        <v>957.94</v>
      </c>
      <c r="K410" s="21">
        <v>1033073.1200000001</v>
      </c>
      <c r="L410" s="2"/>
    </row>
    <row r="411" spans="1:12" x14ac:dyDescent="0.25">
      <c r="A411" s="58">
        <v>46039</v>
      </c>
      <c r="B411" s="18">
        <v>0.375</v>
      </c>
      <c r="C411" s="19">
        <v>7.72</v>
      </c>
      <c r="D411" s="19">
        <v>76.27</v>
      </c>
      <c r="E411" s="19">
        <v>1.64</v>
      </c>
      <c r="F411" s="19">
        <v>0.18</v>
      </c>
      <c r="G411" s="19">
        <v>17.489999999999998</v>
      </c>
      <c r="H411" s="20">
        <v>13.54</v>
      </c>
      <c r="I411" s="20">
        <v>32.26</v>
      </c>
      <c r="J411" s="20">
        <v>957.9</v>
      </c>
      <c r="K411" s="21">
        <v>1015653.25</v>
      </c>
      <c r="L411" s="2"/>
    </row>
    <row r="412" spans="1:12" x14ac:dyDescent="0.25">
      <c r="A412" s="58">
        <v>46039</v>
      </c>
      <c r="B412" s="18">
        <v>0.41666666666666669</v>
      </c>
      <c r="C412" s="19">
        <v>7.1</v>
      </c>
      <c r="D412" s="19">
        <v>76.69</v>
      </c>
      <c r="E412" s="19">
        <v>1.94</v>
      </c>
      <c r="F412" s="19">
        <v>0.15</v>
      </c>
      <c r="G412" s="19">
        <v>17.47</v>
      </c>
      <c r="H412" s="20">
        <v>13.56</v>
      </c>
      <c r="I412" s="20">
        <v>32.86</v>
      </c>
      <c r="J412" s="20">
        <v>958.09</v>
      </c>
      <c r="K412" s="21">
        <v>1009364.5900000001</v>
      </c>
      <c r="L412" s="2"/>
    </row>
    <row r="413" spans="1:12" x14ac:dyDescent="0.25">
      <c r="A413" s="58">
        <v>46039</v>
      </c>
      <c r="B413" s="18">
        <v>0.45833333333333331</v>
      </c>
      <c r="C413" s="19">
        <v>8.02</v>
      </c>
      <c r="D413" s="19">
        <v>76.209999999999994</v>
      </c>
      <c r="E413" s="19">
        <v>2.39</v>
      </c>
      <c r="F413" s="19">
        <v>0.18</v>
      </c>
      <c r="G413" s="19">
        <v>17.46</v>
      </c>
      <c r="H413" s="20">
        <v>13.57</v>
      </c>
      <c r="I413" s="20">
        <v>33.06</v>
      </c>
      <c r="J413" s="20">
        <v>957.87</v>
      </c>
      <c r="K413" s="21">
        <v>990410.02</v>
      </c>
      <c r="L413" s="2"/>
    </row>
    <row r="414" spans="1:12" x14ac:dyDescent="0.25">
      <c r="A414" s="58">
        <v>46039</v>
      </c>
      <c r="B414" s="18">
        <v>0.5</v>
      </c>
      <c r="C414" s="19">
        <v>7.81</v>
      </c>
      <c r="D414" s="19">
        <v>73.05</v>
      </c>
      <c r="E414" s="19">
        <v>2.5499999999999998</v>
      </c>
      <c r="F414" s="19">
        <v>0.44</v>
      </c>
      <c r="G414" s="19">
        <v>17.45</v>
      </c>
      <c r="H414" s="20">
        <v>13.59</v>
      </c>
      <c r="I414" s="20">
        <v>33.22</v>
      </c>
      <c r="J414" s="20">
        <v>957.27</v>
      </c>
      <c r="K414" s="21">
        <v>970314.05</v>
      </c>
      <c r="L414" s="2"/>
    </row>
    <row r="415" spans="1:12" x14ac:dyDescent="0.25">
      <c r="A415" s="58">
        <v>46039</v>
      </c>
      <c r="B415" s="18">
        <v>0.54166666666666663</v>
      </c>
      <c r="C415" s="19">
        <v>7.24</v>
      </c>
      <c r="D415" s="19">
        <v>72.599999999999994</v>
      </c>
      <c r="E415" s="19">
        <v>2.81</v>
      </c>
      <c r="F415" s="19">
        <v>0.45</v>
      </c>
      <c r="G415" s="19">
        <v>17.46</v>
      </c>
      <c r="H415" s="20">
        <v>13.62</v>
      </c>
      <c r="I415" s="20">
        <v>33.64</v>
      </c>
      <c r="J415" s="20">
        <v>956.63</v>
      </c>
      <c r="K415" s="21">
        <v>972025.91999999993</v>
      </c>
      <c r="L415" s="2"/>
    </row>
    <row r="416" spans="1:12" x14ac:dyDescent="0.25">
      <c r="A416" s="58">
        <v>46039</v>
      </c>
      <c r="B416" s="18">
        <v>0.58333333333333337</v>
      </c>
      <c r="C416" s="19">
        <v>7.14</v>
      </c>
      <c r="D416" s="19">
        <v>71.290000000000006</v>
      </c>
      <c r="E416" s="19">
        <v>2.93</v>
      </c>
      <c r="F416" s="19">
        <v>2.37</v>
      </c>
      <c r="G416" s="19">
        <v>17.399999999999999</v>
      </c>
      <c r="H416" s="20">
        <v>13.64</v>
      </c>
      <c r="I416" s="20">
        <v>34.15</v>
      </c>
      <c r="J416" s="20">
        <v>956.42</v>
      </c>
      <c r="K416" s="21">
        <v>982682.42999999993</v>
      </c>
      <c r="L416" s="2"/>
    </row>
    <row r="417" spans="1:12" x14ac:dyDescent="0.25">
      <c r="A417" s="58">
        <v>46039</v>
      </c>
      <c r="B417" s="18">
        <v>0.625</v>
      </c>
      <c r="C417" s="19">
        <v>6.15</v>
      </c>
      <c r="D417" s="19">
        <v>71.959999999999994</v>
      </c>
      <c r="E417" s="19">
        <v>2.92</v>
      </c>
      <c r="F417" s="19">
        <v>3.51</v>
      </c>
      <c r="G417" s="19">
        <v>17.36</v>
      </c>
      <c r="H417" s="20">
        <v>13.66</v>
      </c>
      <c r="I417" s="20">
        <v>34.549999999999997</v>
      </c>
      <c r="J417" s="20">
        <v>956.4</v>
      </c>
      <c r="K417" s="21">
        <v>1002669.8300000001</v>
      </c>
      <c r="L417" s="2"/>
    </row>
    <row r="418" spans="1:12" x14ac:dyDescent="0.25">
      <c r="A418" s="58">
        <v>46039</v>
      </c>
      <c r="B418" s="18">
        <v>0.66666666666666663</v>
      </c>
      <c r="C418" s="19">
        <v>8.07</v>
      </c>
      <c r="D418" s="19">
        <v>73.13</v>
      </c>
      <c r="E418" s="19">
        <v>2.95</v>
      </c>
      <c r="F418" s="19">
        <v>1.91</v>
      </c>
      <c r="G418" s="19">
        <v>17.37</v>
      </c>
      <c r="H418" s="20">
        <v>13.64</v>
      </c>
      <c r="I418" s="20">
        <v>34.17</v>
      </c>
      <c r="J418" s="20">
        <v>956.52</v>
      </c>
      <c r="K418" s="21">
        <v>1002114.22</v>
      </c>
      <c r="L418" s="2"/>
    </row>
    <row r="419" spans="1:12" x14ac:dyDescent="0.25">
      <c r="A419" s="58">
        <v>46039</v>
      </c>
      <c r="B419" s="18">
        <v>0.70833333333333337</v>
      </c>
      <c r="C419" s="19">
        <v>7.77</v>
      </c>
      <c r="D419" s="19">
        <v>73.55</v>
      </c>
      <c r="E419" s="19">
        <v>2.93</v>
      </c>
      <c r="F419" s="19">
        <v>2.39</v>
      </c>
      <c r="G419" s="19">
        <v>17.37</v>
      </c>
      <c r="H419" s="20">
        <v>13.63</v>
      </c>
      <c r="I419" s="20">
        <v>34.1</v>
      </c>
      <c r="J419" s="20">
        <v>957.11</v>
      </c>
      <c r="K419" s="21">
        <v>994054.7</v>
      </c>
      <c r="L419" s="2"/>
    </row>
    <row r="420" spans="1:12" x14ac:dyDescent="0.25">
      <c r="A420" s="58">
        <v>46039</v>
      </c>
      <c r="B420" s="18">
        <v>0.75</v>
      </c>
      <c r="C420" s="19">
        <v>6.98</v>
      </c>
      <c r="D420" s="19">
        <v>74.069999999999993</v>
      </c>
      <c r="E420" s="19">
        <v>3.14</v>
      </c>
      <c r="F420" s="19">
        <v>2.16</v>
      </c>
      <c r="G420" s="19">
        <v>17.37</v>
      </c>
      <c r="H420" s="20">
        <v>13.62</v>
      </c>
      <c r="I420" s="20">
        <v>33.96</v>
      </c>
      <c r="J420" s="20">
        <v>957.41</v>
      </c>
      <c r="K420" s="21">
        <v>992855.44</v>
      </c>
      <c r="L420" s="2"/>
    </row>
    <row r="421" spans="1:12" x14ac:dyDescent="0.25">
      <c r="A421" s="58">
        <v>46039</v>
      </c>
      <c r="B421" s="18">
        <v>0.79166666666666663</v>
      </c>
      <c r="C421" s="19">
        <v>7.86</v>
      </c>
      <c r="D421" s="19">
        <v>73.290000000000006</v>
      </c>
      <c r="E421" s="19">
        <v>3.5</v>
      </c>
      <c r="F421" s="19">
        <v>3.87</v>
      </c>
      <c r="G421" s="19">
        <v>17.39</v>
      </c>
      <c r="H421" s="20">
        <v>13.61</v>
      </c>
      <c r="I421" s="20">
        <v>33.950000000000003</v>
      </c>
      <c r="J421" s="20">
        <v>958.02</v>
      </c>
      <c r="K421" s="21">
        <v>1017431.53</v>
      </c>
      <c r="L421" s="2"/>
    </row>
    <row r="422" spans="1:12" x14ac:dyDescent="0.25">
      <c r="A422" s="58">
        <v>46039</v>
      </c>
      <c r="B422" s="18">
        <v>0.83333333333333337</v>
      </c>
      <c r="C422" s="19">
        <v>6.87</v>
      </c>
      <c r="D422" s="19">
        <v>73.78</v>
      </c>
      <c r="E422" s="19">
        <v>2.83</v>
      </c>
      <c r="F422" s="19">
        <v>2.06</v>
      </c>
      <c r="G422" s="19">
        <v>17.440000000000001</v>
      </c>
      <c r="H422" s="20">
        <v>13.59</v>
      </c>
      <c r="I422" s="20">
        <v>33.479999999999997</v>
      </c>
      <c r="J422" s="20">
        <v>958.38</v>
      </c>
      <c r="K422" s="21">
        <v>1045562.53</v>
      </c>
      <c r="L422" s="2"/>
    </row>
    <row r="423" spans="1:12" x14ac:dyDescent="0.25">
      <c r="A423" s="58">
        <v>46039</v>
      </c>
      <c r="B423" s="18">
        <v>0.875</v>
      </c>
      <c r="C423" s="19">
        <v>6.55</v>
      </c>
      <c r="D423" s="19">
        <v>74.81</v>
      </c>
      <c r="E423" s="19">
        <v>2.77</v>
      </c>
      <c r="F423" s="19">
        <v>1.19</v>
      </c>
      <c r="G423" s="19">
        <v>17.47</v>
      </c>
      <c r="H423" s="20">
        <v>13.56</v>
      </c>
      <c r="I423" s="20">
        <v>33.03</v>
      </c>
      <c r="J423" s="20">
        <v>958.73</v>
      </c>
      <c r="K423" s="21">
        <v>1065933.32</v>
      </c>
      <c r="L423" s="2"/>
    </row>
    <row r="424" spans="1:12" x14ac:dyDescent="0.25">
      <c r="A424" s="58">
        <v>46039</v>
      </c>
      <c r="B424" s="18">
        <v>0.91666666666666663</v>
      </c>
      <c r="C424" s="19">
        <v>7.43</v>
      </c>
      <c r="D424" s="19">
        <v>74.59</v>
      </c>
      <c r="E424" s="19">
        <v>2.86</v>
      </c>
      <c r="F424" s="19">
        <v>0.72</v>
      </c>
      <c r="G424" s="19">
        <v>17.46</v>
      </c>
      <c r="H424" s="20">
        <v>13.52</v>
      </c>
      <c r="I424" s="20">
        <v>32.26</v>
      </c>
      <c r="J424" s="20">
        <v>958.98</v>
      </c>
      <c r="K424" s="21">
        <v>1075221.73</v>
      </c>
      <c r="L424" s="2"/>
    </row>
    <row r="425" spans="1:12" ht="15.75" thickBot="1" x14ac:dyDescent="0.3">
      <c r="A425" s="60">
        <v>46039</v>
      </c>
      <c r="B425" s="35">
        <v>0.95833333333333337</v>
      </c>
      <c r="C425" s="23">
        <v>6.96</v>
      </c>
      <c r="D425" s="23">
        <v>75.19</v>
      </c>
      <c r="E425" s="23">
        <v>2.81</v>
      </c>
      <c r="F425" s="23">
        <v>0.68</v>
      </c>
      <c r="G425" s="23">
        <v>17.46</v>
      </c>
      <c r="H425" s="24">
        <v>13.5</v>
      </c>
      <c r="I425" s="24">
        <v>31.79</v>
      </c>
      <c r="J425" s="24">
        <v>959.27</v>
      </c>
      <c r="K425" s="25">
        <v>1066598.5900000001</v>
      </c>
      <c r="L425" s="2"/>
    </row>
    <row r="426" spans="1:12" ht="15.75" thickBot="1" x14ac:dyDescent="0.3">
      <c r="A426" s="26" t="s">
        <v>28</v>
      </c>
      <c r="B426" s="44"/>
      <c r="C426" s="45">
        <f t="shared" ref="C426:K426" si="16">IFERROR(ROUND(AVERAGE(C402:C425), 2), "")</f>
        <v>7.18</v>
      </c>
      <c r="D426" s="45">
        <f t="shared" si="16"/>
        <v>74.44</v>
      </c>
      <c r="E426" s="45">
        <f t="shared" si="16"/>
        <v>2.33</v>
      </c>
      <c r="F426" s="45">
        <f t="shared" si="16"/>
        <v>1.41</v>
      </c>
      <c r="G426" s="45">
        <f t="shared" si="16"/>
        <v>17.45</v>
      </c>
      <c r="H426" s="45">
        <f t="shared" si="16"/>
        <v>13.58</v>
      </c>
      <c r="I426" s="45">
        <f t="shared" si="16"/>
        <v>33.14</v>
      </c>
      <c r="J426" s="45">
        <f t="shared" si="16"/>
        <v>957.67</v>
      </c>
      <c r="K426" s="46">
        <f t="shared" si="16"/>
        <v>1011303.3</v>
      </c>
      <c r="L426" s="7"/>
    </row>
    <row r="427" spans="1:12" x14ac:dyDescent="0.25">
      <c r="A427" s="57">
        <v>46040</v>
      </c>
      <c r="B427" s="14">
        <v>0</v>
      </c>
      <c r="C427" s="15">
        <v>8.26</v>
      </c>
      <c r="D427" s="15">
        <v>76.16</v>
      </c>
      <c r="E427" s="15">
        <v>2.62</v>
      </c>
      <c r="F427" s="15">
        <v>0.42</v>
      </c>
      <c r="G427" s="16">
        <v>17.46</v>
      </c>
      <c r="H427" s="16">
        <v>13.49</v>
      </c>
      <c r="I427" s="16">
        <v>31.73</v>
      </c>
      <c r="J427" s="16">
        <v>959.5</v>
      </c>
      <c r="K427" s="31">
        <v>1068663.06</v>
      </c>
      <c r="L427" s="2"/>
    </row>
    <row r="428" spans="1:12" x14ac:dyDescent="0.25">
      <c r="A428" s="58">
        <v>46040</v>
      </c>
      <c r="B428" s="18">
        <v>4.1666666666666664E-2</v>
      </c>
      <c r="C428" s="19">
        <v>7.05</v>
      </c>
      <c r="D428" s="19">
        <v>74.790000000000006</v>
      </c>
      <c r="E428" s="19">
        <v>2.77</v>
      </c>
      <c r="F428" s="19">
        <v>1.23</v>
      </c>
      <c r="G428" s="20">
        <v>17.55</v>
      </c>
      <c r="H428" s="20">
        <v>13.45</v>
      </c>
      <c r="I428" s="20">
        <v>30.89</v>
      </c>
      <c r="J428" s="20">
        <v>959.53</v>
      </c>
      <c r="K428" s="32">
        <v>1047251.05</v>
      </c>
      <c r="L428" s="2"/>
    </row>
    <row r="429" spans="1:12" x14ac:dyDescent="0.25">
      <c r="A429" s="58">
        <v>46040</v>
      </c>
      <c r="B429" s="18">
        <v>8.3333333333333329E-2</v>
      </c>
      <c r="C429" s="19">
        <v>7.32</v>
      </c>
      <c r="D429" s="19">
        <v>74.150000000000006</v>
      </c>
      <c r="E429" s="19">
        <v>2.74</v>
      </c>
      <c r="F429" s="19">
        <v>3.23</v>
      </c>
      <c r="G429" s="20">
        <v>17.559999999999999</v>
      </c>
      <c r="H429" s="20">
        <v>13.43</v>
      </c>
      <c r="I429" s="20">
        <v>30.55</v>
      </c>
      <c r="J429" s="20">
        <v>959.89</v>
      </c>
      <c r="K429" s="32">
        <v>1048269.6299999999</v>
      </c>
      <c r="L429" s="2"/>
    </row>
    <row r="430" spans="1:12" x14ac:dyDescent="0.25">
      <c r="A430" s="58">
        <v>46040</v>
      </c>
      <c r="B430" s="18">
        <v>0.125</v>
      </c>
      <c r="C430" s="19">
        <v>7.48</v>
      </c>
      <c r="D430" s="19">
        <v>73.63</v>
      </c>
      <c r="E430" s="19">
        <v>2.74</v>
      </c>
      <c r="F430" s="19">
        <v>7.09</v>
      </c>
      <c r="G430" s="20">
        <v>17.57</v>
      </c>
      <c r="H430" s="20">
        <v>13.43</v>
      </c>
      <c r="I430" s="20">
        <v>30.46</v>
      </c>
      <c r="J430" s="20">
        <v>959.78</v>
      </c>
      <c r="K430" s="32">
        <v>1049154.8</v>
      </c>
      <c r="L430" s="2"/>
    </row>
    <row r="431" spans="1:12" x14ac:dyDescent="0.25">
      <c r="A431" s="58">
        <v>46040</v>
      </c>
      <c r="B431" s="18">
        <v>0.16666666666666666</v>
      </c>
      <c r="C431" s="19">
        <v>8.24</v>
      </c>
      <c r="D431" s="19">
        <v>74.84</v>
      </c>
      <c r="E431" s="19">
        <v>2.94</v>
      </c>
      <c r="F431" s="19">
        <v>3.08</v>
      </c>
      <c r="G431" s="20">
        <v>17.579999999999998</v>
      </c>
      <c r="H431" s="20">
        <v>13.42</v>
      </c>
      <c r="I431" s="20">
        <v>30.27</v>
      </c>
      <c r="J431" s="20">
        <v>959.82</v>
      </c>
      <c r="K431" s="32">
        <v>1039794.6100000001</v>
      </c>
      <c r="L431" s="2"/>
    </row>
    <row r="432" spans="1:12" x14ac:dyDescent="0.25">
      <c r="A432" s="58">
        <v>46040</v>
      </c>
      <c r="B432" s="18">
        <v>0.20833333333333334</v>
      </c>
      <c r="C432" s="19">
        <v>6.92</v>
      </c>
      <c r="D432" s="19">
        <v>73.53</v>
      </c>
      <c r="E432" s="19">
        <v>2.57</v>
      </c>
      <c r="F432" s="19">
        <v>1.03</v>
      </c>
      <c r="G432" s="20">
        <v>17.57</v>
      </c>
      <c r="H432" s="20">
        <v>13.41</v>
      </c>
      <c r="I432" s="20">
        <v>30.19</v>
      </c>
      <c r="J432" s="20">
        <v>960.08</v>
      </c>
      <c r="K432" s="32">
        <v>1041204.3899999999</v>
      </c>
      <c r="L432" s="2"/>
    </row>
    <row r="433" spans="1:12" x14ac:dyDescent="0.25">
      <c r="A433" s="58">
        <v>46040</v>
      </c>
      <c r="B433" s="18">
        <v>0.25</v>
      </c>
      <c r="C433" s="19">
        <v>6.42</v>
      </c>
      <c r="D433" s="19">
        <v>73.150000000000006</v>
      </c>
      <c r="E433" s="19">
        <v>2.8</v>
      </c>
      <c r="F433" s="19">
        <v>5.04</v>
      </c>
      <c r="G433" s="20">
        <v>17.54</v>
      </c>
      <c r="H433" s="20">
        <v>13.41</v>
      </c>
      <c r="I433" s="20">
        <v>30.25</v>
      </c>
      <c r="J433" s="20">
        <v>960.28</v>
      </c>
      <c r="K433" s="32">
        <v>1042523.03</v>
      </c>
      <c r="L433" s="2"/>
    </row>
    <row r="434" spans="1:12" x14ac:dyDescent="0.25">
      <c r="A434" s="58">
        <v>46040</v>
      </c>
      <c r="B434" s="18">
        <v>0.29166666666666669</v>
      </c>
      <c r="C434" s="19">
        <v>7.58</v>
      </c>
      <c r="D434" s="19">
        <v>73.37</v>
      </c>
      <c r="E434" s="19">
        <v>2.81</v>
      </c>
      <c r="F434" s="19">
        <v>3.01</v>
      </c>
      <c r="G434" s="20">
        <v>17.55</v>
      </c>
      <c r="H434" s="20">
        <v>13.41</v>
      </c>
      <c r="I434" s="20">
        <v>30.31</v>
      </c>
      <c r="J434" s="20">
        <v>960.74</v>
      </c>
      <c r="K434" s="32">
        <v>1054655.44</v>
      </c>
      <c r="L434" s="2"/>
    </row>
    <row r="435" spans="1:12" x14ac:dyDescent="0.25">
      <c r="A435" s="58">
        <v>46040</v>
      </c>
      <c r="B435" s="18">
        <v>0.33333333333333331</v>
      </c>
      <c r="C435" s="20">
        <v>6.03</v>
      </c>
      <c r="D435" s="20">
        <v>79.290000000000006</v>
      </c>
      <c r="E435" s="20">
        <v>2.38</v>
      </c>
      <c r="F435" s="20">
        <v>4.96</v>
      </c>
      <c r="G435" s="20">
        <v>17.540000000000003</v>
      </c>
      <c r="H435" s="20">
        <v>13.47</v>
      </c>
      <c r="I435" s="20">
        <v>31.520000000000003</v>
      </c>
      <c r="J435" s="20">
        <v>960.24</v>
      </c>
      <c r="K435" s="32">
        <v>1030840.03</v>
      </c>
      <c r="L435" s="1"/>
    </row>
    <row r="436" spans="1:12" x14ac:dyDescent="0.25">
      <c r="A436" s="58">
        <v>46040</v>
      </c>
      <c r="B436" s="18">
        <v>0.375</v>
      </c>
      <c r="C436" s="20">
        <v>5.88</v>
      </c>
      <c r="D436" s="20">
        <v>78.52</v>
      </c>
      <c r="E436" s="20">
        <v>2.5099999999999998</v>
      </c>
      <c r="F436" s="20">
        <v>5.33</v>
      </c>
      <c r="G436" s="20">
        <v>17.59</v>
      </c>
      <c r="H436" s="20">
        <v>13.48</v>
      </c>
      <c r="I436" s="20">
        <v>31.65</v>
      </c>
      <c r="J436" s="20">
        <v>960.32</v>
      </c>
      <c r="K436" s="32">
        <v>1026973.35</v>
      </c>
      <c r="L436" s="1"/>
    </row>
    <row r="437" spans="1:12" x14ac:dyDescent="0.25">
      <c r="A437" s="58">
        <v>46040</v>
      </c>
      <c r="B437" s="18">
        <v>0.41666666666666669</v>
      </c>
      <c r="C437" s="20">
        <v>5.66</v>
      </c>
      <c r="D437" s="20">
        <v>76.28</v>
      </c>
      <c r="E437" s="20">
        <v>2.59</v>
      </c>
      <c r="F437" s="20">
        <v>5.22</v>
      </c>
      <c r="G437" s="20">
        <v>17.580000000000002</v>
      </c>
      <c r="H437" s="20">
        <v>13.5</v>
      </c>
      <c r="I437" s="20">
        <v>32.35</v>
      </c>
      <c r="J437" s="20">
        <v>960.45</v>
      </c>
      <c r="K437" s="32">
        <v>1017160.31</v>
      </c>
      <c r="L437" s="1"/>
    </row>
    <row r="438" spans="1:12" x14ac:dyDescent="0.25">
      <c r="A438" s="58">
        <v>46040</v>
      </c>
      <c r="B438" s="18">
        <v>0.45833333333333331</v>
      </c>
      <c r="C438" s="20">
        <v>5.55</v>
      </c>
      <c r="D438" s="20">
        <v>76.58</v>
      </c>
      <c r="E438" s="20">
        <v>2.4900000000000002</v>
      </c>
      <c r="F438" s="20">
        <v>2.34</v>
      </c>
      <c r="G438" s="20">
        <v>17.59</v>
      </c>
      <c r="H438" s="20">
        <v>13.55</v>
      </c>
      <c r="I438" s="20">
        <v>33.25</v>
      </c>
      <c r="J438" s="20">
        <v>960.3</v>
      </c>
      <c r="K438" s="32">
        <v>1015287.51</v>
      </c>
      <c r="L438" s="1"/>
    </row>
    <row r="439" spans="1:12" x14ac:dyDescent="0.25">
      <c r="A439" s="58">
        <v>46040</v>
      </c>
      <c r="B439" s="18">
        <v>0.5</v>
      </c>
      <c r="C439" s="20">
        <v>5.4</v>
      </c>
      <c r="D439" s="20">
        <v>74.010000000000005</v>
      </c>
      <c r="E439" s="20">
        <v>2.4500000000000002</v>
      </c>
      <c r="F439" s="20">
        <v>4.47</v>
      </c>
      <c r="G439" s="20">
        <v>17.510000000000002</v>
      </c>
      <c r="H439" s="20">
        <v>13.59</v>
      </c>
      <c r="I439" s="20">
        <v>34.19</v>
      </c>
      <c r="J439" s="20">
        <v>959.91</v>
      </c>
      <c r="K439" s="32">
        <v>1006854.62</v>
      </c>
      <c r="L439" s="1"/>
    </row>
    <row r="440" spans="1:12" x14ac:dyDescent="0.25">
      <c r="A440" s="58">
        <v>46040</v>
      </c>
      <c r="B440" s="18">
        <v>0.54166666666666663</v>
      </c>
      <c r="C440" s="20">
        <v>4.71</v>
      </c>
      <c r="D440" s="20">
        <v>73.64</v>
      </c>
      <c r="E440" s="20">
        <v>2.4500000000000002</v>
      </c>
      <c r="F440" s="20">
        <v>3.67</v>
      </c>
      <c r="G440" s="20">
        <v>17.520000000000003</v>
      </c>
      <c r="H440" s="20">
        <v>13.64</v>
      </c>
      <c r="I440" s="20">
        <v>35.21</v>
      </c>
      <c r="J440" s="20">
        <v>959.53</v>
      </c>
      <c r="K440" s="32">
        <v>990439.25</v>
      </c>
      <c r="L440" s="1"/>
    </row>
    <row r="441" spans="1:12" x14ac:dyDescent="0.25">
      <c r="A441" s="58">
        <v>46040</v>
      </c>
      <c r="B441" s="18">
        <v>0.58333333333333337</v>
      </c>
      <c r="C441" s="20">
        <v>5.78</v>
      </c>
      <c r="D441" s="20">
        <v>74.099999999999994</v>
      </c>
      <c r="E441" s="20">
        <v>2.54</v>
      </c>
      <c r="F441" s="20">
        <v>2.15</v>
      </c>
      <c r="G441" s="20">
        <v>17.510000000000002</v>
      </c>
      <c r="H441" s="20">
        <v>13.69</v>
      </c>
      <c r="I441" s="20">
        <v>36.07</v>
      </c>
      <c r="J441" s="20">
        <v>959.19</v>
      </c>
      <c r="K441" s="32">
        <v>974782.06</v>
      </c>
      <c r="L441" s="1"/>
    </row>
    <row r="442" spans="1:12" x14ac:dyDescent="0.25">
      <c r="A442" s="58">
        <v>46040</v>
      </c>
      <c r="B442" s="18">
        <v>0.625</v>
      </c>
      <c r="C442" s="20">
        <v>5.77</v>
      </c>
      <c r="D442" s="20">
        <v>73.72</v>
      </c>
      <c r="E442" s="20">
        <v>2.42</v>
      </c>
      <c r="F442" s="20">
        <v>1.83</v>
      </c>
      <c r="G442" s="20">
        <v>17.510000000000002</v>
      </c>
      <c r="H442" s="20">
        <v>13.72</v>
      </c>
      <c r="I442" s="20">
        <v>36.700000000000003</v>
      </c>
      <c r="J442" s="20">
        <v>959.05</v>
      </c>
      <c r="K442" s="32">
        <v>965990.69</v>
      </c>
      <c r="L442" s="1"/>
    </row>
    <row r="443" spans="1:12" x14ac:dyDescent="0.25">
      <c r="A443" s="58">
        <v>46040</v>
      </c>
      <c r="B443" s="18">
        <v>0.66666666666666663</v>
      </c>
      <c r="C443" s="20">
        <v>6.55</v>
      </c>
      <c r="D443" s="20">
        <v>74.47</v>
      </c>
      <c r="E443" s="20">
        <v>2.5</v>
      </c>
      <c r="F443" s="20">
        <v>3.21</v>
      </c>
      <c r="G443" s="20">
        <v>17.5</v>
      </c>
      <c r="H443" s="20">
        <v>13.73</v>
      </c>
      <c r="I443" s="20">
        <v>36.770000000000003</v>
      </c>
      <c r="J443" s="20">
        <v>958.65</v>
      </c>
      <c r="K443" s="32">
        <v>960446.93</v>
      </c>
      <c r="L443" s="1"/>
    </row>
    <row r="444" spans="1:12" x14ac:dyDescent="0.25">
      <c r="A444" s="58">
        <v>46040</v>
      </c>
      <c r="B444" s="18">
        <v>0.70833333333333337</v>
      </c>
      <c r="C444" s="20">
        <v>5.3</v>
      </c>
      <c r="D444" s="20">
        <v>72.88</v>
      </c>
      <c r="E444" s="20">
        <v>2.35</v>
      </c>
      <c r="F444" s="20">
        <v>1.34</v>
      </c>
      <c r="G444" s="20">
        <v>17.490000000000002</v>
      </c>
      <c r="H444" s="20">
        <v>13.71</v>
      </c>
      <c r="I444" s="20">
        <v>36.369999999999997</v>
      </c>
      <c r="J444" s="20">
        <v>958.64</v>
      </c>
      <c r="K444" s="32">
        <v>963495.86</v>
      </c>
      <c r="L444" s="1"/>
    </row>
    <row r="445" spans="1:12" x14ac:dyDescent="0.25">
      <c r="A445" s="58">
        <v>46040</v>
      </c>
      <c r="B445" s="18">
        <v>0.75</v>
      </c>
      <c r="C445" s="20">
        <v>4.95</v>
      </c>
      <c r="D445" s="20">
        <v>72.989999999999995</v>
      </c>
      <c r="E445" s="20">
        <v>2.0299999999999998</v>
      </c>
      <c r="F445" s="20">
        <v>1.06</v>
      </c>
      <c r="G445" s="20">
        <v>17.470000000000002</v>
      </c>
      <c r="H445" s="20">
        <v>13.7</v>
      </c>
      <c r="I445" s="20">
        <v>36.299999999999997</v>
      </c>
      <c r="J445" s="20">
        <v>958.66</v>
      </c>
      <c r="K445" s="32">
        <v>965838.64</v>
      </c>
      <c r="L445" s="1"/>
    </row>
    <row r="446" spans="1:12" x14ac:dyDescent="0.25">
      <c r="A446" s="58">
        <v>46040</v>
      </c>
      <c r="B446" s="18">
        <v>0.79166666666666663</v>
      </c>
      <c r="C446" s="20">
        <v>5.49</v>
      </c>
      <c r="D446" s="20">
        <v>73.33</v>
      </c>
      <c r="E446" s="20">
        <v>1.84</v>
      </c>
      <c r="F446" s="20">
        <v>2.06</v>
      </c>
      <c r="G446" s="20">
        <v>17.450000000000003</v>
      </c>
      <c r="H446" s="20">
        <v>13.71</v>
      </c>
      <c r="I446" s="20">
        <v>36.229999999999997</v>
      </c>
      <c r="J446" s="20">
        <v>958.33</v>
      </c>
      <c r="K446" s="32">
        <v>972094.3</v>
      </c>
      <c r="L446" s="1"/>
    </row>
    <row r="447" spans="1:12" x14ac:dyDescent="0.25">
      <c r="A447" s="58">
        <v>46040</v>
      </c>
      <c r="B447" s="18">
        <v>0.83333333333333337</v>
      </c>
      <c r="C447" s="20">
        <v>5.16</v>
      </c>
      <c r="D447" s="20">
        <v>72.900000000000006</v>
      </c>
      <c r="E447" s="20">
        <v>1.81</v>
      </c>
      <c r="F447" s="20">
        <v>5.81</v>
      </c>
      <c r="G447" s="20">
        <v>17.440000000000001</v>
      </c>
      <c r="H447" s="20">
        <v>13.69</v>
      </c>
      <c r="I447" s="20">
        <v>35.840000000000003</v>
      </c>
      <c r="J447" s="20">
        <v>958</v>
      </c>
      <c r="K447" s="32">
        <v>971757.38</v>
      </c>
      <c r="L447" s="1"/>
    </row>
    <row r="448" spans="1:12" x14ac:dyDescent="0.25">
      <c r="A448" s="58">
        <v>46040</v>
      </c>
      <c r="B448" s="18">
        <v>0.875</v>
      </c>
      <c r="C448" s="20">
        <v>5.41</v>
      </c>
      <c r="D448" s="20">
        <v>74.58</v>
      </c>
      <c r="E448" s="20">
        <v>1.83</v>
      </c>
      <c r="F448" s="20">
        <v>3.52</v>
      </c>
      <c r="G448" s="20">
        <v>17.450000000000003</v>
      </c>
      <c r="H448" s="20">
        <v>13.68</v>
      </c>
      <c r="I448" s="20">
        <v>35.49</v>
      </c>
      <c r="J448" s="20">
        <v>957.85</v>
      </c>
      <c r="K448" s="32">
        <v>975076.7</v>
      </c>
      <c r="L448" s="1"/>
    </row>
    <row r="449" spans="1:12" x14ac:dyDescent="0.25">
      <c r="A449" s="58">
        <v>46040</v>
      </c>
      <c r="B449" s="18">
        <v>0.91666666666666663</v>
      </c>
      <c r="C449" s="20">
        <v>5.37</v>
      </c>
      <c r="D449" s="20">
        <v>74.510000000000005</v>
      </c>
      <c r="E449" s="20">
        <v>1.76</v>
      </c>
      <c r="F449" s="20">
        <v>6.09</v>
      </c>
      <c r="G449" s="20">
        <v>17.450000000000003</v>
      </c>
      <c r="H449" s="20">
        <v>13.66</v>
      </c>
      <c r="I449" s="20">
        <v>34.99</v>
      </c>
      <c r="J449" s="20">
        <v>957.67</v>
      </c>
      <c r="K449" s="32">
        <v>976615.55</v>
      </c>
      <c r="L449" s="1"/>
    </row>
    <row r="450" spans="1:12" ht="15.75" thickBot="1" x14ac:dyDescent="0.3">
      <c r="A450" s="60">
        <v>46040</v>
      </c>
      <c r="B450" s="35">
        <v>0.95833333333333337</v>
      </c>
      <c r="C450" s="24">
        <v>5.67</v>
      </c>
      <c r="D450" s="24">
        <v>75.94</v>
      </c>
      <c r="E450" s="24">
        <v>1.74</v>
      </c>
      <c r="F450" s="24">
        <v>4.0599999999999996</v>
      </c>
      <c r="G450" s="24">
        <v>17.450000000000003</v>
      </c>
      <c r="H450" s="24">
        <v>13.64</v>
      </c>
      <c r="I450" s="24">
        <v>34.590000000000003</v>
      </c>
      <c r="J450" s="24">
        <v>957.54</v>
      </c>
      <c r="K450" s="36">
        <v>974290.65</v>
      </c>
      <c r="L450" s="1"/>
    </row>
    <row r="451" spans="1:12" ht="15.75" thickBot="1" x14ac:dyDescent="0.3">
      <c r="A451" s="26" t="s">
        <v>29</v>
      </c>
      <c r="B451" s="44"/>
      <c r="C451" s="45">
        <f t="shared" ref="C451:K451" si="17">IFERROR(ROUND(AVERAGE(C427:C450), 2), "")</f>
        <v>6.16</v>
      </c>
      <c r="D451" s="45">
        <f t="shared" si="17"/>
        <v>74.64</v>
      </c>
      <c r="E451" s="45">
        <f t="shared" si="17"/>
        <v>2.4</v>
      </c>
      <c r="F451" s="45">
        <f t="shared" si="17"/>
        <v>3.39</v>
      </c>
      <c r="G451" s="45">
        <f t="shared" si="17"/>
        <v>17.52</v>
      </c>
      <c r="H451" s="45">
        <f t="shared" si="17"/>
        <v>13.57</v>
      </c>
      <c r="I451" s="45">
        <f t="shared" si="17"/>
        <v>33.42</v>
      </c>
      <c r="J451" s="45">
        <f t="shared" si="17"/>
        <v>959.33</v>
      </c>
      <c r="K451" s="46">
        <f t="shared" si="17"/>
        <v>1007477.49</v>
      </c>
      <c r="L451" s="7"/>
    </row>
    <row r="452" spans="1:12" x14ac:dyDescent="0.25">
      <c r="A452" s="57">
        <v>46041</v>
      </c>
      <c r="B452" s="14">
        <v>0</v>
      </c>
      <c r="C452" s="16">
        <v>5.89</v>
      </c>
      <c r="D452" s="16">
        <v>75.88</v>
      </c>
      <c r="E452" s="16">
        <v>1.82</v>
      </c>
      <c r="F452" s="16">
        <v>2.92</v>
      </c>
      <c r="G452" s="16">
        <v>17.440000000000001</v>
      </c>
      <c r="H452" s="15">
        <v>13.63</v>
      </c>
      <c r="I452" s="16">
        <v>34.33</v>
      </c>
      <c r="J452" s="16">
        <v>958.06</v>
      </c>
      <c r="K452" s="31">
        <v>961070.4</v>
      </c>
      <c r="L452" s="1"/>
    </row>
    <row r="453" spans="1:12" x14ac:dyDescent="0.25">
      <c r="A453" s="58">
        <v>46041</v>
      </c>
      <c r="B453" s="18">
        <v>4.1666666666666664E-2</v>
      </c>
      <c r="C453" s="20">
        <v>4.9800000000000004</v>
      </c>
      <c r="D453" s="20">
        <v>76.81</v>
      </c>
      <c r="E453" s="20">
        <v>1.78</v>
      </c>
      <c r="F453" s="20">
        <v>2.2400000000000002</v>
      </c>
      <c r="G453" s="20">
        <v>17.399999999999999</v>
      </c>
      <c r="H453" s="19">
        <v>13.57</v>
      </c>
      <c r="I453" s="20">
        <v>33.54</v>
      </c>
      <c r="J453" s="20">
        <v>959.69</v>
      </c>
      <c r="K453" s="32">
        <v>973515.68</v>
      </c>
      <c r="L453" s="1"/>
    </row>
    <row r="454" spans="1:12" x14ac:dyDescent="0.25">
      <c r="A454" s="58">
        <v>46041</v>
      </c>
      <c r="B454" s="18">
        <v>8.3333333333333329E-2</v>
      </c>
      <c r="C454" s="20">
        <v>4.92</v>
      </c>
      <c r="D454" s="20">
        <v>75.88</v>
      </c>
      <c r="E454" s="20">
        <v>1.86</v>
      </c>
      <c r="F454" s="20">
        <v>1.83</v>
      </c>
      <c r="G454" s="20">
        <v>17.37</v>
      </c>
      <c r="H454" s="19">
        <v>13.56</v>
      </c>
      <c r="I454" s="20">
        <v>33.24</v>
      </c>
      <c r="J454" s="20">
        <v>959.2</v>
      </c>
      <c r="K454" s="32">
        <v>982788.12</v>
      </c>
      <c r="L454" s="1"/>
    </row>
    <row r="455" spans="1:12" x14ac:dyDescent="0.25">
      <c r="A455" s="58">
        <v>46041</v>
      </c>
      <c r="B455" s="18">
        <v>0.125</v>
      </c>
      <c r="C455" s="20">
        <v>5.2</v>
      </c>
      <c r="D455" s="20">
        <v>75.41</v>
      </c>
      <c r="E455" s="20">
        <v>1.92</v>
      </c>
      <c r="F455" s="20">
        <v>1.64</v>
      </c>
      <c r="G455" s="20">
        <v>17.37</v>
      </c>
      <c r="H455" s="19">
        <v>13.55</v>
      </c>
      <c r="I455" s="20">
        <v>32.83</v>
      </c>
      <c r="J455" s="20">
        <v>958.59</v>
      </c>
      <c r="K455" s="32">
        <v>985583.03</v>
      </c>
      <c r="L455" s="1"/>
    </row>
    <row r="456" spans="1:12" x14ac:dyDescent="0.25">
      <c r="A456" s="58">
        <v>46041</v>
      </c>
      <c r="B456" s="18">
        <v>0.16666666666666666</v>
      </c>
      <c r="C456" s="20">
        <v>5.69</v>
      </c>
      <c r="D456" s="20">
        <v>75.650000000000006</v>
      </c>
      <c r="E456" s="20">
        <v>1.91</v>
      </c>
      <c r="F456" s="20">
        <v>1.37</v>
      </c>
      <c r="G456" s="20">
        <v>17.38</v>
      </c>
      <c r="H456" s="19">
        <v>13.54</v>
      </c>
      <c r="I456" s="20">
        <v>32.36</v>
      </c>
      <c r="J456" s="20">
        <v>958.12</v>
      </c>
      <c r="K456" s="32">
        <v>986463.69</v>
      </c>
      <c r="L456" s="1"/>
    </row>
    <row r="457" spans="1:12" x14ac:dyDescent="0.25">
      <c r="A457" s="58">
        <v>46041</v>
      </c>
      <c r="B457" s="18">
        <v>0.20833333333333334</v>
      </c>
      <c r="C457" s="20">
        <v>5.26</v>
      </c>
      <c r="D457" s="20">
        <v>75.239999999999995</v>
      </c>
      <c r="E457" s="20">
        <v>1.87</v>
      </c>
      <c r="F457" s="20">
        <v>1.19</v>
      </c>
      <c r="G457" s="20">
        <v>17.38</v>
      </c>
      <c r="H457" s="19">
        <v>13.52</v>
      </c>
      <c r="I457" s="20">
        <v>31.97</v>
      </c>
      <c r="J457" s="20">
        <v>958.2</v>
      </c>
      <c r="K457" s="32">
        <v>990025.82</v>
      </c>
      <c r="L457" s="1"/>
    </row>
    <row r="458" spans="1:12" x14ac:dyDescent="0.25">
      <c r="A458" s="58">
        <v>46041</v>
      </c>
      <c r="B458" s="18">
        <v>0.25</v>
      </c>
      <c r="C458" s="20">
        <v>5.3</v>
      </c>
      <c r="D458" s="20">
        <v>72.13</v>
      </c>
      <c r="E458" s="20">
        <v>1.81</v>
      </c>
      <c r="F458" s="20">
        <v>3.68</v>
      </c>
      <c r="G458" s="20">
        <v>17.29</v>
      </c>
      <c r="H458" s="19">
        <v>13.52</v>
      </c>
      <c r="I458" s="20">
        <v>31.939999999999998</v>
      </c>
      <c r="J458" s="20">
        <v>958.19</v>
      </c>
      <c r="K458" s="32">
        <v>995159.88</v>
      </c>
      <c r="L458" s="1"/>
    </row>
    <row r="459" spans="1:12" x14ac:dyDescent="0.25">
      <c r="A459" s="58">
        <v>46041</v>
      </c>
      <c r="B459" s="18">
        <v>0.29166666666666669</v>
      </c>
      <c r="C459" s="20">
        <v>5.1100000000000003</v>
      </c>
      <c r="D459" s="20">
        <v>71.650000000000006</v>
      </c>
      <c r="E459" s="20">
        <v>1.92</v>
      </c>
      <c r="F459" s="20">
        <v>3.3</v>
      </c>
      <c r="G459" s="20">
        <v>17.239999999999998</v>
      </c>
      <c r="H459" s="19">
        <v>13.52</v>
      </c>
      <c r="I459" s="20">
        <v>32.1</v>
      </c>
      <c r="J459" s="20">
        <v>958.23</v>
      </c>
      <c r="K459" s="32">
        <v>997501.99</v>
      </c>
      <c r="L459" s="1"/>
    </row>
    <row r="460" spans="1:12" x14ac:dyDescent="0.25">
      <c r="A460" s="58">
        <v>46041</v>
      </c>
      <c r="B460" s="18">
        <v>0.33333333333333331</v>
      </c>
      <c r="C460" s="20">
        <v>6.02</v>
      </c>
      <c r="D460" s="20">
        <v>72.75</v>
      </c>
      <c r="E460" s="20">
        <v>1.97</v>
      </c>
      <c r="F460" s="20">
        <v>2.74</v>
      </c>
      <c r="G460" s="20">
        <v>17.29</v>
      </c>
      <c r="H460" s="19">
        <v>13.51</v>
      </c>
      <c r="I460" s="20">
        <v>31.86</v>
      </c>
      <c r="J460" s="20">
        <v>958.73</v>
      </c>
      <c r="K460" s="32">
        <v>1005132.34</v>
      </c>
      <c r="L460" s="1"/>
    </row>
    <row r="461" spans="1:12" x14ac:dyDescent="0.25">
      <c r="A461" s="58">
        <v>46041</v>
      </c>
      <c r="B461" s="18">
        <v>0.375</v>
      </c>
      <c r="C461" s="20">
        <v>4.6399999999999997</v>
      </c>
      <c r="D461" s="20">
        <v>74.03</v>
      </c>
      <c r="E461" s="20">
        <v>2.12</v>
      </c>
      <c r="F461" s="20">
        <v>2.88</v>
      </c>
      <c r="G461" s="20">
        <v>17.34</v>
      </c>
      <c r="H461" s="19">
        <v>13.51</v>
      </c>
      <c r="I461" s="20">
        <v>32.18</v>
      </c>
      <c r="J461" s="20">
        <v>959.4</v>
      </c>
      <c r="K461" s="32">
        <v>1007006.98</v>
      </c>
      <c r="L461" s="1"/>
    </row>
    <row r="462" spans="1:12" x14ac:dyDescent="0.25">
      <c r="A462" s="58">
        <v>46041</v>
      </c>
      <c r="B462" s="18">
        <v>0.41666666666666669</v>
      </c>
      <c r="C462" s="20">
        <v>5.17</v>
      </c>
      <c r="D462" s="20">
        <v>74.099999999999994</v>
      </c>
      <c r="E462" s="20">
        <v>2.17</v>
      </c>
      <c r="F462" s="20">
        <v>4.45</v>
      </c>
      <c r="G462" s="20">
        <v>17.329999999999998</v>
      </c>
      <c r="H462" s="19">
        <v>13.54</v>
      </c>
      <c r="I462" s="20">
        <v>33.01</v>
      </c>
      <c r="J462" s="20">
        <v>959.67</v>
      </c>
      <c r="K462" s="32">
        <v>1000718.07</v>
      </c>
      <c r="L462" s="1"/>
    </row>
    <row r="463" spans="1:12" x14ac:dyDescent="0.25">
      <c r="A463" s="58">
        <v>46041</v>
      </c>
      <c r="B463" s="18">
        <v>0.45833333333333331</v>
      </c>
      <c r="C463" s="20">
        <v>5.61</v>
      </c>
      <c r="D463" s="20">
        <v>74.319999999999993</v>
      </c>
      <c r="E463" s="20">
        <v>2.27</v>
      </c>
      <c r="F463" s="20">
        <v>3.72</v>
      </c>
      <c r="G463" s="20">
        <v>17.32</v>
      </c>
      <c r="H463" s="19">
        <v>13.6</v>
      </c>
      <c r="I463" s="20">
        <v>34.17</v>
      </c>
      <c r="J463" s="20">
        <v>959.52</v>
      </c>
      <c r="K463" s="32">
        <v>993575.95</v>
      </c>
      <c r="L463" s="1"/>
    </row>
    <row r="464" spans="1:12" x14ac:dyDescent="0.25">
      <c r="A464" s="58">
        <v>46041</v>
      </c>
      <c r="B464" s="18">
        <v>0.5</v>
      </c>
      <c r="C464" s="19">
        <v>1.49</v>
      </c>
      <c r="D464" s="19">
        <v>70.650000000000006</v>
      </c>
      <c r="E464" s="19">
        <v>2.71</v>
      </c>
      <c r="F464" s="19">
        <v>0.72</v>
      </c>
      <c r="G464" s="19">
        <v>17.32</v>
      </c>
      <c r="H464" s="19">
        <v>13.63</v>
      </c>
      <c r="I464" s="19">
        <v>35.18</v>
      </c>
      <c r="J464" s="19">
        <v>960.66</v>
      </c>
      <c r="K464" s="32">
        <v>989308.33000000007</v>
      </c>
      <c r="L464" s="1"/>
    </row>
    <row r="465" spans="1:12" x14ac:dyDescent="0.25">
      <c r="A465" s="58">
        <v>46041</v>
      </c>
      <c r="B465" s="18">
        <v>0.54166666666666663</v>
      </c>
      <c r="C465" s="19">
        <v>0.26</v>
      </c>
      <c r="D465" s="19">
        <v>72.13</v>
      </c>
      <c r="E465" s="19">
        <v>2.3199999999999998</v>
      </c>
      <c r="F465" s="19">
        <v>2.97</v>
      </c>
      <c r="G465" s="19">
        <v>17.28</v>
      </c>
      <c r="H465" s="19">
        <v>13.6</v>
      </c>
      <c r="I465" s="19">
        <v>34.869999999999997</v>
      </c>
      <c r="J465" s="19">
        <v>961.43</v>
      </c>
      <c r="K465" s="32">
        <v>966427.25</v>
      </c>
      <c r="L465" s="1"/>
    </row>
    <row r="466" spans="1:12" x14ac:dyDescent="0.25">
      <c r="A466" s="58">
        <v>46041</v>
      </c>
      <c r="B466" s="18">
        <v>0.58333333333333337</v>
      </c>
      <c r="C466" s="19">
        <v>1.69</v>
      </c>
      <c r="D466" s="19">
        <v>72.099999999999994</v>
      </c>
      <c r="E466" s="19">
        <v>2.12</v>
      </c>
      <c r="F466" s="19">
        <v>2.54</v>
      </c>
      <c r="G466" s="19">
        <v>17.27</v>
      </c>
      <c r="H466" s="19">
        <v>13.62</v>
      </c>
      <c r="I466" s="19">
        <v>35.29</v>
      </c>
      <c r="J466" s="19">
        <v>961.31</v>
      </c>
      <c r="K466" s="32">
        <v>953468.42999999993</v>
      </c>
      <c r="L466" s="1"/>
    </row>
    <row r="467" spans="1:12" x14ac:dyDescent="0.25">
      <c r="A467" s="58">
        <v>46041</v>
      </c>
      <c r="B467" s="18">
        <v>0.625</v>
      </c>
      <c r="C467" s="19">
        <v>7.34</v>
      </c>
      <c r="D467" s="19">
        <v>72.510000000000005</v>
      </c>
      <c r="E467" s="19">
        <v>2.19</v>
      </c>
      <c r="F467" s="19">
        <v>2.91</v>
      </c>
      <c r="G467" s="19">
        <v>17.29</v>
      </c>
      <c r="H467" s="19">
        <v>13.63</v>
      </c>
      <c r="I467" s="19">
        <v>35.44</v>
      </c>
      <c r="J467" s="19">
        <v>961.39</v>
      </c>
      <c r="K467" s="32">
        <v>945391.67999999993</v>
      </c>
      <c r="L467" s="1"/>
    </row>
    <row r="468" spans="1:12" x14ac:dyDescent="0.25">
      <c r="A468" s="58">
        <v>46041</v>
      </c>
      <c r="B468" s="18">
        <v>0.66666666666666663</v>
      </c>
      <c r="C468" s="19">
        <v>7.1</v>
      </c>
      <c r="D468" s="19">
        <v>71.930000000000007</v>
      </c>
      <c r="E468" s="19">
        <v>2.5499999999999998</v>
      </c>
      <c r="F468" s="19">
        <v>4.3</v>
      </c>
      <c r="G468" s="19">
        <v>17.3</v>
      </c>
      <c r="H468" s="19">
        <v>13.62</v>
      </c>
      <c r="I468" s="19">
        <v>35.4</v>
      </c>
      <c r="J468" s="19">
        <v>961.48</v>
      </c>
      <c r="K468" s="32">
        <v>947846.73</v>
      </c>
      <c r="L468" s="1"/>
    </row>
    <row r="469" spans="1:12" x14ac:dyDescent="0.25">
      <c r="A469" s="58">
        <v>46041</v>
      </c>
      <c r="B469" s="18">
        <v>0.70833333333333337</v>
      </c>
      <c r="C469" s="19">
        <v>8.91</v>
      </c>
      <c r="D469" s="19">
        <v>73.040000000000006</v>
      </c>
      <c r="E469" s="19">
        <v>2.27</v>
      </c>
      <c r="F469" s="19">
        <v>3.56</v>
      </c>
      <c r="G469" s="19">
        <v>17.309999999999999</v>
      </c>
      <c r="H469" s="19">
        <v>13.61</v>
      </c>
      <c r="I469" s="19">
        <v>35.07</v>
      </c>
      <c r="J469" s="19">
        <v>961.46</v>
      </c>
      <c r="K469" s="32">
        <v>957816.59000000008</v>
      </c>
      <c r="L469" s="1"/>
    </row>
    <row r="470" spans="1:12" x14ac:dyDescent="0.25">
      <c r="A470" s="58">
        <v>46041</v>
      </c>
      <c r="B470" s="18">
        <v>0.75</v>
      </c>
      <c r="C470" s="19">
        <v>7.23</v>
      </c>
      <c r="D470" s="19">
        <v>72.16</v>
      </c>
      <c r="E470" s="19">
        <v>2.67</v>
      </c>
      <c r="F470" s="19">
        <v>3.34</v>
      </c>
      <c r="G470" s="19">
        <v>17.3</v>
      </c>
      <c r="H470" s="19">
        <v>13.59</v>
      </c>
      <c r="I470" s="19">
        <v>34.700000000000003</v>
      </c>
      <c r="J470" s="19">
        <v>961.6</v>
      </c>
      <c r="K470" s="32">
        <v>960730.59000000008</v>
      </c>
      <c r="L470" s="1"/>
    </row>
    <row r="471" spans="1:12" x14ac:dyDescent="0.25">
      <c r="A471" s="58">
        <v>46041</v>
      </c>
      <c r="B471" s="18">
        <v>0.79166666666666663</v>
      </c>
      <c r="C471" s="19">
        <v>7.61</v>
      </c>
      <c r="D471" s="19">
        <v>73.27</v>
      </c>
      <c r="E471" s="19">
        <v>2.92</v>
      </c>
      <c r="F471" s="19">
        <v>4.28</v>
      </c>
      <c r="G471" s="19">
        <v>17.29</v>
      </c>
      <c r="H471" s="19">
        <v>13.58</v>
      </c>
      <c r="I471" s="19">
        <v>34.4</v>
      </c>
      <c r="J471" s="19">
        <v>961.55</v>
      </c>
      <c r="K471" s="32">
        <v>966319.67999999993</v>
      </c>
      <c r="L471" s="1"/>
    </row>
    <row r="472" spans="1:12" x14ac:dyDescent="0.25">
      <c r="A472" s="58">
        <v>46041</v>
      </c>
      <c r="B472" s="18">
        <v>0.83333333333333337</v>
      </c>
      <c r="C472" s="19">
        <v>7.5</v>
      </c>
      <c r="D472" s="19">
        <v>73.38</v>
      </c>
      <c r="E472" s="19">
        <v>3.25</v>
      </c>
      <c r="F472" s="19">
        <v>1.74</v>
      </c>
      <c r="G472" s="19">
        <v>17.3</v>
      </c>
      <c r="H472" s="19">
        <v>13.57</v>
      </c>
      <c r="I472" s="19">
        <v>34.130000000000003</v>
      </c>
      <c r="J472" s="19">
        <v>961.39</v>
      </c>
      <c r="K472" s="32">
        <v>973790.37999999989</v>
      </c>
      <c r="L472" s="1"/>
    </row>
    <row r="473" spans="1:12" x14ac:dyDescent="0.25">
      <c r="A473" s="58">
        <v>46041</v>
      </c>
      <c r="B473" s="18">
        <v>0.875</v>
      </c>
      <c r="C473" s="19">
        <v>7.3</v>
      </c>
      <c r="D473" s="19">
        <v>73.37</v>
      </c>
      <c r="E473" s="19">
        <v>3.07</v>
      </c>
      <c r="F473" s="19">
        <v>2.39</v>
      </c>
      <c r="G473" s="19">
        <v>17.3</v>
      </c>
      <c r="H473" s="19">
        <v>13.56</v>
      </c>
      <c r="I473" s="19">
        <v>33.83</v>
      </c>
      <c r="J473" s="19">
        <v>961.35</v>
      </c>
      <c r="K473" s="32">
        <v>982293.92999999993</v>
      </c>
      <c r="L473" s="1"/>
    </row>
    <row r="474" spans="1:12" x14ac:dyDescent="0.25">
      <c r="A474" s="58">
        <v>46041</v>
      </c>
      <c r="B474" s="18">
        <v>0.91666666666666663</v>
      </c>
      <c r="C474" s="19">
        <v>7.74</v>
      </c>
      <c r="D474" s="19">
        <v>73.39</v>
      </c>
      <c r="E474" s="19">
        <v>2.77</v>
      </c>
      <c r="F474" s="19">
        <v>3.66</v>
      </c>
      <c r="G474" s="19">
        <v>17.28</v>
      </c>
      <c r="H474" s="19">
        <v>13.55</v>
      </c>
      <c r="I474" s="19">
        <v>33.71</v>
      </c>
      <c r="J474" s="19">
        <v>961.22</v>
      </c>
      <c r="K474" s="32">
        <v>977045.65999999992</v>
      </c>
      <c r="L474" s="1"/>
    </row>
    <row r="475" spans="1:12" ht="15.75" thickBot="1" x14ac:dyDescent="0.3">
      <c r="A475" s="60">
        <v>46041</v>
      </c>
      <c r="B475" s="35">
        <v>0.95833333333333337</v>
      </c>
      <c r="C475" s="23">
        <v>7.16</v>
      </c>
      <c r="D475" s="23">
        <v>73.239999999999995</v>
      </c>
      <c r="E475" s="23">
        <v>1.98</v>
      </c>
      <c r="F475" s="23">
        <v>2.81</v>
      </c>
      <c r="G475" s="23">
        <v>17.239999999999998</v>
      </c>
      <c r="H475" s="23">
        <v>13.55</v>
      </c>
      <c r="I475" s="23">
        <v>33.57</v>
      </c>
      <c r="J475" s="23">
        <v>960.98</v>
      </c>
      <c r="K475" s="36">
        <v>958034.35000000009</v>
      </c>
      <c r="L475" s="1"/>
    </row>
    <row r="476" spans="1:12" ht="15.75" thickBot="1" x14ac:dyDescent="0.3">
      <c r="A476" s="26" t="s">
        <v>30</v>
      </c>
      <c r="B476" s="44"/>
      <c r="C476" s="45">
        <f t="shared" ref="C476:K476" si="18">IFERROR(ROUND(AVERAGE(C452:C475), 2), "")</f>
        <v>5.63</v>
      </c>
      <c r="D476" s="45">
        <f t="shared" si="18"/>
        <v>73.540000000000006</v>
      </c>
      <c r="E476" s="45">
        <f t="shared" si="18"/>
        <v>2.2599999999999998</v>
      </c>
      <c r="F476" s="45">
        <f t="shared" si="18"/>
        <v>2.8</v>
      </c>
      <c r="G476" s="45">
        <f t="shared" si="18"/>
        <v>17.32</v>
      </c>
      <c r="H476" s="45">
        <f t="shared" si="18"/>
        <v>13.57</v>
      </c>
      <c r="I476" s="45">
        <f t="shared" si="18"/>
        <v>33.71</v>
      </c>
      <c r="J476" s="45">
        <f t="shared" si="18"/>
        <v>960.06</v>
      </c>
      <c r="K476" s="46">
        <f t="shared" si="18"/>
        <v>977375.65</v>
      </c>
      <c r="L476" s="7"/>
    </row>
    <row r="477" spans="1:12" x14ac:dyDescent="0.25">
      <c r="A477" s="57">
        <v>46042</v>
      </c>
      <c r="B477" s="14">
        <v>0</v>
      </c>
      <c r="C477" s="15">
        <v>6.63</v>
      </c>
      <c r="D477" s="15">
        <v>69.739999999999995</v>
      </c>
      <c r="E477" s="15">
        <v>1.35</v>
      </c>
      <c r="F477" s="15">
        <v>3.62</v>
      </c>
      <c r="G477" s="15">
        <v>17.23</v>
      </c>
      <c r="H477" s="16">
        <v>13.56</v>
      </c>
      <c r="I477" s="16">
        <v>33.630000000000003</v>
      </c>
      <c r="J477" s="16">
        <v>960.76</v>
      </c>
      <c r="K477" s="17">
        <v>956212.33000000007</v>
      </c>
      <c r="L477" s="2"/>
    </row>
    <row r="478" spans="1:12" x14ac:dyDescent="0.25">
      <c r="A478" s="58">
        <v>46042</v>
      </c>
      <c r="B478" s="18">
        <v>4.1666666666666664E-2</v>
      </c>
      <c r="C478" s="19">
        <v>6.98</v>
      </c>
      <c r="D478" s="19">
        <v>72.37</v>
      </c>
      <c r="E478" s="19">
        <v>2.11</v>
      </c>
      <c r="F478" s="19">
        <v>1.19</v>
      </c>
      <c r="G478" s="19">
        <v>17.3</v>
      </c>
      <c r="H478" s="20">
        <v>13.52</v>
      </c>
      <c r="I478" s="20">
        <v>32.71</v>
      </c>
      <c r="J478" s="20">
        <v>960.57</v>
      </c>
      <c r="K478" s="21">
        <v>969569.25</v>
      </c>
      <c r="L478" s="2"/>
    </row>
    <row r="479" spans="1:12" x14ac:dyDescent="0.25">
      <c r="A479" s="58">
        <v>46042</v>
      </c>
      <c r="B479" s="18">
        <v>8.3333333333333329E-2</v>
      </c>
      <c r="C479" s="19">
        <v>7.97</v>
      </c>
      <c r="D479" s="19">
        <v>72.87</v>
      </c>
      <c r="E479" s="19">
        <v>2.56</v>
      </c>
      <c r="F479" s="19">
        <v>0.71</v>
      </c>
      <c r="G479" s="19">
        <v>17.28</v>
      </c>
      <c r="H479" s="20">
        <v>13.53</v>
      </c>
      <c r="I479" s="20">
        <v>32.74</v>
      </c>
      <c r="J479" s="20">
        <v>960.44</v>
      </c>
      <c r="K479" s="21">
        <v>974521.8899999999</v>
      </c>
      <c r="L479" s="2"/>
    </row>
    <row r="480" spans="1:12" x14ac:dyDescent="0.25">
      <c r="A480" s="58">
        <v>46042</v>
      </c>
      <c r="B480" s="18">
        <v>0.125</v>
      </c>
      <c r="C480" s="19">
        <v>7.13</v>
      </c>
      <c r="D480" s="19">
        <v>72.05</v>
      </c>
      <c r="E480" s="19">
        <v>2.0699999999999998</v>
      </c>
      <c r="F480" s="19">
        <v>0.65</v>
      </c>
      <c r="G480" s="19">
        <v>17.29</v>
      </c>
      <c r="H480" s="20">
        <v>13.53</v>
      </c>
      <c r="I480" s="20">
        <v>32.65</v>
      </c>
      <c r="J480" s="20">
        <v>960.01</v>
      </c>
      <c r="K480" s="21">
        <v>978894.8600000001</v>
      </c>
      <c r="L480" s="2"/>
    </row>
    <row r="481" spans="1:12" x14ac:dyDescent="0.25">
      <c r="A481" s="58">
        <v>46042</v>
      </c>
      <c r="B481" s="18">
        <v>0.16666666666666666</v>
      </c>
      <c r="C481" s="19">
        <v>6.94</v>
      </c>
      <c r="D481" s="19">
        <v>72.05</v>
      </c>
      <c r="E481" s="19">
        <v>1.81</v>
      </c>
      <c r="F481" s="19">
        <v>1.06</v>
      </c>
      <c r="G481" s="19">
        <v>17.28</v>
      </c>
      <c r="H481" s="20">
        <v>13.52</v>
      </c>
      <c r="I481" s="20">
        <v>32.39</v>
      </c>
      <c r="J481" s="20">
        <v>959.8</v>
      </c>
      <c r="K481" s="21">
        <v>985098.5</v>
      </c>
      <c r="L481" s="2"/>
    </row>
    <row r="482" spans="1:12" x14ac:dyDescent="0.25">
      <c r="A482" s="58">
        <v>46042</v>
      </c>
      <c r="B482" s="18">
        <v>0.20833333333333334</v>
      </c>
      <c r="C482" s="19">
        <v>7.18</v>
      </c>
      <c r="D482" s="19">
        <v>73.19</v>
      </c>
      <c r="E482" s="19">
        <v>2.25</v>
      </c>
      <c r="F482" s="19">
        <v>0.99</v>
      </c>
      <c r="G482" s="19">
        <v>17.29</v>
      </c>
      <c r="H482" s="20">
        <v>13.5</v>
      </c>
      <c r="I482" s="20">
        <v>32.03</v>
      </c>
      <c r="J482" s="20">
        <v>959.73</v>
      </c>
      <c r="K482" s="21">
        <v>988017.49</v>
      </c>
      <c r="L482" s="2"/>
    </row>
    <row r="483" spans="1:12" x14ac:dyDescent="0.25">
      <c r="A483" s="58">
        <v>46042</v>
      </c>
      <c r="B483" s="18">
        <v>0.25</v>
      </c>
      <c r="C483" s="19">
        <v>7.78</v>
      </c>
      <c r="D483" s="19">
        <v>74.09</v>
      </c>
      <c r="E483" s="19">
        <v>1.98</v>
      </c>
      <c r="F483" s="19">
        <v>1.1100000000000001</v>
      </c>
      <c r="G483" s="19">
        <v>17.3</v>
      </c>
      <c r="H483" s="20">
        <v>13.5</v>
      </c>
      <c r="I483" s="20">
        <v>31.9</v>
      </c>
      <c r="J483" s="20">
        <v>959.65</v>
      </c>
      <c r="K483" s="21">
        <v>994376.79</v>
      </c>
      <c r="L483" s="2"/>
    </row>
    <row r="484" spans="1:12" x14ac:dyDescent="0.25">
      <c r="A484" s="58">
        <v>46042</v>
      </c>
      <c r="B484" s="18">
        <v>0.29166666666666669</v>
      </c>
      <c r="C484" s="19">
        <v>7.47</v>
      </c>
      <c r="D484" s="19">
        <v>73.099999999999994</v>
      </c>
      <c r="E484" s="19">
        <v>2.4</v>
      </c>
      <c r="F484" s="19">
        <v>0.55000000000000004</v>
      </c>
      <c r="G484" s="19">
        <v>17.3</v>
      </c>
      <c r="H484" s="20">
        <v>13.5</v>
      </c>
      <c r="I484" s="20">
        <v>31.84</v>
      </c>
      <c r="J484" s="20">
        <v>959.62</v>
      </c>
      <c r="K484" s="21">
        <v>991386.01</v>
      </c>
      <c r="L484" s="2"/>
    </row>
    <row r="485" spans="1:12" x14ac:dyDescent="0.25">
      <c r="A485" s="58">
        <v>46042</v>
      </c>
      <c r="B485" s="18">
        <v>0.33333333333333331</v>
      </c>
      <c r="C485" s="19">
        <v>7.29</v>
      </c>
      <c r="D485" s="19">
        <v>73.73</v>
      </c>
      <c r="E485" s="19">
        <v>2.5</v>
      </c>
      <c r="F485" s="19">
        <v>0.63</v>
      </c>
      <c r="G485" s="19">
        <v>17.309999999999999</v>
      </c>
      <c r="H485" s="20">
        <v>13.51</v>
      </c>
      <c r="I485" s="20">
        <v>32.04</v>
      </c>
      <c r="J485" s="20">
        <v>959.47</v>
      </c>
      <c r="K485" s="21">
        <v>982640.05</v>
      </c>
      <c r="L485" s="2"/>
    </row>
    <row r="486" spans="1:12" x14ac:dyDescent="0.25">
      <c r="A486" s="58">
        <v>46042</v>
      </c>
      <c r="B486" s="18">
        <v>0.375</v>
      </c>
      <c r="C486" s="19">
        <v>6.77</v>
      </c>
      <c r="D486" s="19">
        <v>73.8</v>
      </c>
      <c r="E486" s="19">
        <v>2.16</v>
      </c>
      <c r="F486" s="19">
        <v>0.77</v>
      </c>
      <c r="G486" s="19">
        <v>17.309999999999999</v>
      </c>
      <c r="H486" s="20">
        <v>13.54</v>
      </c>
      <c r="I486" s="20">
        <v>32.630000000000003</v>
      </c>
      <c r="J486" s="20">
        <v>959.28</v>
      </c>
      <c r="K486" s="21">
        <v>990302.96</v>
      </c>
      <c r="L486" s="2"/>
    </row>
    <row r="487" spans="1:12" x14ac:dyDescent="0.25">
      <c r="A487" s="58">
        <v>46042</v>
      </c>
      <c r="B487" s="18">
        <v>0.41666666666666669</v>
      </c>
      <c r="C487" s="19">
        <v>7.18</v>
      </c>
      <c r="D487" s="19">
        <v>71.400000000000006</v>
      </c>
      <c r="E487" s="19">
        <v>2.63</v>
      </c>
      <c r="F487" s="19">
        <v>3.98</v>
      </c>
      <c r="G487" s="19">
        <v>17.29</v>
      </c>
      <c r="H487" s="20">
        <v>13.59</v>
      </c>
      <c r="I487" s="20">
        <v>33.869999999999997</v>
      </c>
      <c r="J487" s="20">
        <v>959.22</v>
      </c>
      <c r="K487" s="21">
        <v>978853.96</v>
      </c>
      <c r="L487" s="2"/>
    </row>
    <row r="488" spans="1:12" x14ac:dyDescent="0.25">
      <c r="A488" s="58">
        <v>46042</v>
      </c>
      <c r="B488" s="18">
        <v>0.45833333333333331</v>
      </c>
      <c r="C488" s="19">
        <v>6.48</v>
      </c>
      <c r="D488" s="19">
        <v>68.77</v>
      </c>
      <c r="E488" s="19">
        <v>2.36</v>
      </c>
      <c r="F488" s="19">
        <v>5.36</v>
      </c>
      <c r="G488" s="19">
        <v>17.3</v>
      </c>
      <c r="H488" s="20">
        <v>13.64</v>
      </c>
      <c r="I488" s="20">
        <v>34.979999999999997</v>
      </c>
      <c r="J488" s="20">
        <v>958.92</v>
      </c>
      <c r="K488" s="21">
        <v>968604.23</v>
      </c>
      <c r="L488" s="2"/>
    </row>
    <row r="489" spans="1:12" x14ac:dyDescent="0.25">
      <c r="A489" s="58">
        <v>46042</v>
      </c>
      <c r="B489" s="18">
        <v>0.5</v>
      </c>
      <c r="C489" s="19">
        <v>7.21</v>
      </c>
      <c r="D489" s="19">
        <v>67.900000000000006</v>
      </c>
      <c r="E489" s="19">
        <v>2.1800000000000002</v>
      </c>
      <c r="F489" s="19">
        <v>13.03</v>
      </c>
      <c r="G489" s="19">
        <v>17.29</v>
      </c>
      <c r="H489" s="20">
        <v>13.7</v>
      </c>
      <c r="I489" s="20">
        <v>36.14</v>
      </c>
      <c r="J489" s="20">
        <v>958.4</v>
      </c>
      <c r="K489" s="21">
        <v>950293.24</v>
      </c>
      <c r="L489" s="2"/>
    </row>
    <row r="490" spans="1:12" x14ac:dyDescent="0.25">
      <c r="A490" s="58">
        <v>46042</v>
      </c>
      <c r="B490" s="18">
        <v>0.54166666666666663</v>
      </c>
      <c r="C490" s="19">
        <v>7.32</v>
      </c>
      <c r="D490" s="19">
        <v>68.760000000000005</v>
      </c>
      <c r="E490" s="19">
        <v>2.5299999999999998</v>
      </c>
      <c r="F490" s="19">
        <v>11.66</v>
      </c>
      <c r="G490" s="19">
        <v>17.27</v>
      </c>
      <c r="H490" s="20">
        <v>13.75</v>
      </c>
      <c r="I490" s="20">
        <v>36.909999999999997</v>
      </c>
      <c r="J490" s="20">
        <v>957.72</v>
      </c>
      <c r="K490" s="21">
        <v>930886.19</v>
      </c>
      <c r="L490" s="2"/>
    </row>
    <row r="491" spans="1:12" x14ac:dyDescent="0.25">
      <c r="A491" s="58">
        <v>46042</v>
      </c>
      <c r="B491" s="18">
        <v>0.58333333333333337</v>
      </c>
      <c r="C491" s="19">
        <v>7.42</v>
      </c>
      <c r="D491" s="19">
        <v>68.930000000000007</v>
      </c>
      <c r="E491" s="19">
        <v>2.84</v>
      </c>
      <c r="F491" s="19">
        <v>11.39</v>
      </c>
      <c r="G491" s="19">
        <v>17.27</v>
      </c>
      <c r="H491" s="20">
        <v>13.77</v>
      </c>
      <c r="I491" s="20">
        <v>37.299999999999997</v>
      </c>
      <c r="J491" s="20">
        <v>957.11</v>
      </c>
      <c r="K491" s="21">
        <v>931180.52</v>
      </c>
      <c r="L491" s="2"/>
    </row>
    <row r="492" spans="1:12" x14ac:dyDescent="0.25">
      <c r="A492" s="58">
        <v>46042</v>
      </c>
      <c r="B492" s="18">
        <v>0.625</v>
      </c>
      <c r="C492" s="19">
        <v>7.59</v>
      </c>
      <c r="D492" s="19">
        <v>67.47</v>
      </c>
      <c r="E492" s="19">
        <v>2.44</v>
      </c>
      <c r="F492" s="19">
        <v>16.93</v>
      </c>
      <c r="G492" s="19">
        <v>17.25</v>
      </c>
      <c r="H492" s="20">
        <v>13.79</v>
      </c>
      <c r="I492" s="20">
        <v>37.49</v>
      </c>
      <c r="J492" s="20">
        <v>956.66</v>
      </c>
      <c r="K492" s="21">
        <v>923689.14999999991</v>
      </c>
      <c r="L492" s="2"/>
    </row>
    <row r="493" spans="1:12" x14ac:dyDescent="0.25">
      <c r="A493" s="58">
        <v>46042</v>
      </c>
      <c r="B493" s="18">
        <v>0.66666666666666663</v>
      </c>
      <c r="C493" s="19">
        <v>7.69</v>
      </c>
      <c r="D493" s="19">
        <v>68.13</v>
      </c>
      <c r="E493" s="19">
        <v>2.04</v>
      </c>
      <c r="F493" s="19">
        <v>18.95</v>
      </c>
      <c r="G493" s="19">
        <v>17.239999999999998</v>
      </c>
      <c r="H493" s="20">
        <v>13.78</v>
      </c>
      <c r="I493" s="20">
        <v>37.200000000000003</v>
      </c>
      <c r="J493" s="20">
        <v>956.19</v>
      </c>
      <c r="K493" s="21">
        <v>923013.47</v>
      </c>
      <c r="L493" s="2"/>
    </row>
    <row r="494" spans="1:12" x14ac:dyDescent="0.25">
      <c r="A494" s="58">
        <v>46042</v>
      </c>
      <c r="B494" s="18">
        <v>0.70833333333333337</v>
      </c>
      <c r="C494" s="19">
        <v>7</v>
      </c>
      <c r="D494" s="19">
        <v>68.209999999999994</v>
      </c>
      <c r="E494" s="19">
        <v>1.72</v>
      </c>
      <c r="F494" s="19">
        <v>15.13</v>
      </c>
      <c r="G494" s="19">
        <v>17.22</v>
      </c>
      <c r="H494" s="20">
        <v>13.77</v>
      </c>
      <c r="I494" s="20">
        <v>36.71</v>
      </c>
      <c r="J494" s="20">
        <v>955.57</v>
      </c>
      <c r="K494" s="21">
        <v>919218.14999999991</v>
      </c>
      <c r="L494" s="2"/>
    </row>
    <row r="495" spans="1:12" x14ac:dyDescent="0.25">
      <c r="A495" s="58">
        <v>46042</v>
      </c>
      <c r="B495" s="18">
        <v>0.75</v>
      </c>
      <c r="C495" s="19">
        <v>7.14</v>
      </c>
      <c r="D495" s="19">
        <v>68.63</v>
      </c>
      <c r="E495" s="19">
        <v>1.53</v>
      </c>
      <c r="F495" s="19">
        <v>13.61</v>
      </c>
      <c r="G495" s="19">
        <v>17.2</v>
      </c>
      <c r="H495" s="20">
        <v>13.75</v>
      </c>
      <c r="I495" s="20">
        <v>36.21</v>
      </c>
      <c r="J495" s="20">
        <v>955.14</v>
      </c>
      <c r="K495" s="21">
        <v>923803.12000000011</v>
      </c>
      <c r="L495" s="2"/>
    </row>
    <row r="496" spans="1:12" x14ac:dyDescent="0.25">
      <c r="A496" s="58">
        <v>46042</v>
      </c>
      <c r="B496" s="18">
        <v>0.79166666666666663</v>
      </c>
      <c r="C496" s="19">
        <v>6.18</v>
      </c>
      <c r="D496" s="19">
        <v>68.760000000000005</v>
      </c>
      <c r="E496" s="19">
        <v>1.06</v>
      </c>
      <c r="F496" s="19">
        <v>12.59</v>
      </c>
      <c r="G496" s="19">
        <v>17.190000000000001</v>
      </c>
      <c r="H496" s="20">
        <v>13.73</v>
      </c>
      <c r="I496" s="20">
        <v>35.619999999999997</v>
      </c>
      <c r="J496" s="20">
        <v>954.83</v>
      </c>
      <c r="K496" s="21">
        <v>923354.8899999999</v>
      </c>
      <c r="L496" s="2"/>
    </row>
    <row r="497" spans="1:12" x14ac:dyDescent="0.25">
      <c r="A497" s="58">
        <v>46042</v>
      </c>
      <c r="B497" s="18">
        <v>0.83333333333333337</v>
      </c>
      <c r="C497" s="19">
        <v>6.54</v>
      </c>
      <c r="D497" s="19">
        <v>68.900000000000006</v>
      </c>
      <c r="E497" s="19">
        <v>0.79</v>
      </c>
      <c r="F497" s="19">
        <v>13.36</v>
      </c>
      <c r="G497" s="19">
        <v>17.2</v>
      </c>
      <c r="H497" s="20">
        <v>13.72</v>
      </c>
      <c r="I497" s="20">
        <v>35.39</v>
      </c>
      <c r="J497" s="20">
        <v>954.64</v>
      </c>
      <c r="K497" s="21">
        <v>928566.69</v>
      </c>
      <c r="L497" s="2"/>
    </row>
    <row r="498" spans="1:12" x14ac:dyDescent="0.25">
      <c r="A498" s="58">
        <v>46042</v>
      </c>
      <c r="B498" s="18">
        <v>0.875</v>
      </c>
      <c r="C498" s="19">
        <v>5.88</v>
      </c>
      <c r="D498" s="19">
        <v>70.38</v>
      </c>
      <c r="E498" s="19">
        <v>0.74</v>
      </c>
      <c r="F498" s="19">
        <v>9.57</v>
      </c>
      <c r="G498" s="19">
        <v>17.22</v>
      </c>
      <c r="H498" s="20">
        <v>13.72</v>
      </c>
      <c r="I498" s="20">
        <v>35.25</v>
      </c>
      <c r="J498" s="20">
        <v>954.53</v>
      </c>
      <c r="K498" s="21">
        <v>919186.54</v>
      </c>
      <c r="L498" s="2"/>
    </row>
    <row r="499" spans="1:12" x14ac:dyDescent="0.25">
      <c r="A499" s="58">
        <v>46042</v>
      </c>
      <c r="B499" s="18">
        <v>0.91666666666666663</v>
      </c>
      <c r="C499" s="19">
        <v>5.49</v>
      </c>
      <c r="D499" s="19">
        <v>69.739999999999995</v>
      </c>
      <c r="E499" s="19">
        <v>0.95</v>
      </c>
      <c r="F499" s="19">
        <v>9.5399999999999991</v>
      </c>
      <c r="G499" s="19">
        <v>17.190000000000001</v>
      </c>
      <c r="H499" s="20">
        <v>13.73</v>
      </c>
      <c r="I499" s="20">
        <v>35.44</v>
      </c>
      <c r="J499" s="20">
        <v>954.44</v>
      </c>
      <c r="K499" s="21">
        <v>904480.58000000007</v>
      </c>
      <c r="L499" s="2"/>
    </row>
    <row r="500" spans="1:12" ht="15.75" thickBot="1" x14ac:dyDescent="0.3">
      <c r="A500" s="60">
        <v>46042</v>
      </c>
      <c r="B500" s="35">
        <v>0.95833333333333337</v>
      </c>
      <c r="C500" s="23">
        <v>5.81</v>
      </c>
      <c r="D500" s="23">
        <v>70.010000000000005</v>
      </c>
      <c r="E500" s="23">
        <v>1.1299999999999999</v>
      </c>
      <c r="F500" s="23">
        <v>13.56</v>
      </c>
      <c r="G500" s="23">
        <v>17.170000000000002</v>
      </c>
      <c r="H500" s="24">
        <v>13.75</v>
      </c>
      <c r="I500" s="24">
        <v>35.75</v>
      </c>
      <c r="J500" s="24">
        <v>954.15</v>
      </c>
      <c r="K500" s="25">
        <v>905125.76</v>
      </c>
      <c r="L500" s="2"/>
    </row>
    <row r="501" spans="1:12" ht="15.75" thickBot="1" x14ac:dyDescent="0.3">
      <c r="A501" s="26" t="s">
        <v>31</v>
      </c>
      <c r="B501" s="44"/>
      <c r="C501" s="45">
        <f t="shared" ref="C501:K501" si="19">IFERROR(ROUND(AVERAGE(C477:C500), 2), "")</f>
        <v>6.96</v>
      </c>
      <c r="D501" s="45">
        <f t="shared" si="19"/>
        <v>70.540000000000006</v>
      </c>
      <c r="E501" s="45">
        <f t="shared" si="19"/>
        <v>1.92</v>
      </c>
      <c r="F501" s="45">
        <f t="shared" si="19"/>
        <v>7.5</v>
      </c>
      <c r="G501" s="45">
        <f t="shared" si="19"/>
        <v>17.260000000000002</v>
      </c>
      <c r="H501" s="45">
        <f t="shared" si="19"/>
        <v>13.64</v>
      </c>
      <c r="I501" s="45">
        <f t="shared" si="19"/>
        <v>34.53</v>
      </c>
      <c r="J501" s="45">
        <f t="shared" si="19"/>
        <v>957.79</v>
      </c>
      <c r="K501" s="46">
        <f t="shared" si="19"/>
        <v>951719.86</v>
      </c>
      <c r="L501" s="7"/>
    </row>
    <row r="502" spans="1:12" x14ac:dyDescent="0.25">
      <c r="A502" s="57">
        <v>46043</v>
      </c>
      <c r="B502" s="14">
        <v>0</v>
      </c>
      <c r="C502" s="15">
        <v>5.93</v>
      </c>
      <c r="D502" s="15">
        <v>70.11</v>
      </c>
      <c r="E502" s="16">
        <v>0.9</v>
      </c>
      <c r="F502" s="15">
        <v>5.19</v>
      </c>
      <c r="G502" s="15">
        <v>17.22</v>
      </c>
      <c r="H502" s="16">
        <v>13.77</v>
      </c>
      <c r="I502" s="16">
        <v>35.950000000000003</v>
      </c>
      <c r="J502" s="16">
        <v>953.57</v>
      </c>
      <c r="K502" s="17">
        <v>907436.87000000011</v>
      </c>
      <c r="L502" s="2"/>
    </row>
    <row r="503" spans="1:12" x14ac:dyDescent="0.25">
      <c r="A503" s="58">
        <v>46043</v>
      </c>
      <c r="B503" s="18">
        <v>4.1666666666666664E-2</v>
      </c>
      <c r="C503" s="19">
        <v>5.58</v>
      </c>
      <c r="D503" s="19">
        <v>68.739999999999995</v>
      </c>
      <c r="E503" s="20">
        <v>1.1499999999999999</v>
      </c>
      <c r="F503" s="19">
        <v>7</v>
      </c>
      <c r="G503" s="19">
        <v>17.25</v>
      </c>
      <c r="H503" s="20">
        <v>13.76</v>
      </c>
      <c r="I503" s="20">
        <v>35.479999999999997</v>
      </c>
      <c r="J503" s="20">
        <v>952.58</v>
      </c>
      <c r="K503" s="21">
        <v>929160.47</v>
      </c>
      <c r="L503" s="2"/>
    </row>
    <row r="504" spans="1:12" x14ac:dyDescent="0.25">
      <c r="A504" s="58">
        <v>46043</v>
      </c>
      <c r="B504" s="18">
        <v>8.3333333333333329E-2</v>
      </c>
      <c r="C504" s="19">
        <v>6.38</v>
      </c>
      <c r="D504" s="19">
        <v>69.739999999999995</v>
      </c>
      <c r="E504" s="20">
        <v>1.1000000000000001</v>
      </c>
      <c r="F504" s="19">
        <v>5.31</v>
      </c>
      <c r="G504" s="19">
        <v>17.25</v>
      </c>
      <c r="H504" s="20">
        <v>13.75</v>
      </c>
      <c r="I504" s="20">
        <v>35.020000000000003</v>
      </c>
      <c r="J504" s="20">
        <v>951.83</v>
      </c>
      <c r="K504" s="21">
        <v>944890.64999999991</v>
      </c>
      <c r="L504" s="2"/>
    </row>
    <row r="505" spans="1:12" x14ac:dyDescent="0.25">
      <c r="A505" s="58">
        <v>46043</v>
      </c>
      <c r="B505" s="18">
        <v>0.125</v>
      </c>
      <c r="C505" s="19">
        <v>6.28</v>
      </c>
      <c r="D505" s="19">
        <v>70.069999999999993</v>
      </c>
      <c r="E505" s="20">
        <v>0.92</v>
      </c>
      <c r="F505" s="19">
        <v>5.12</v>
      </c>
      <c r="G505" s="19">
        <v>17.260000000000002</v>
      </c>
      <c r="H505" s="20">
        <v>13.75</v>
      </c>
      <c r="I505" s="20">
        <v>34.659999999999997</v>
      </c>
      <c r="J505" s="20">
        <v>950.91</v>
      </c>
      <c r="K505" s="21">
        <v>960165.15999999992</v>
      </c>
      <c r="L505" s="2"/>
    </row>
    <row r="506" spans="1:12" x14ac:dyDescent="0.25">
      <c r="A506" s="58">
        <v>46043</v>
      </c>
      <c r="B506" s="18">
        <v>0.16666666666666666</v>
      </c>
      <c r="C506" s="19">
        <v>6.81</v>
      </c>
      <c r="D506" s="19">
        <v>71.680000000000007</v>
      </c>
      <c r="E506" s="20">
        <v>1.52</v>
      </c>
      <c r="F506" s="19">
        <v>3.28</v>
      </c>
      <c r="G506" s="19">
        <v>17.3</v>
      </c>
      <c r="H506" s="20">
        <v>13.69</v>
      </c>
      <c r="I506" s="20">
        <v>33.299999999999997</v>
      </c>
      <c r="J506" s="20">
        <v>950.71</v>
      </c>
      <c r="K506" s="21">
        <v>977804.49</v>
      </c>
      <c r="L506" s="2"/>
    </row>
    <row r="507" spans="1:12" x14ac:dyDescent="0.25">
      <c r="A507" s="58">
        <v>46043</v>
      </c>
      <c r="B507" s="18">
        <v>0.20833333333333334</v>
      </c>
      <c r="C507" s="19">
        <v>6.62</v>
      </c>
      <c r="D507" s="19">
        <v>70.41</v>
      </c>
      <c r="E507" s="20">
        <v>0.85</v>
      </c>
      <c r="F507" s="19">
        <v>3.45</v>
      </c>
      <c r="G507" s="19">
        <v>17.21</v>
      </c>
      <c r="H507" s="20">
        <v>13.72</v>
      </c>
      <c r="I507" s="20">
        <v>33.549999999999997</v>
      </c>
      <c r="J507" s="20">
        <v>949.72</v>
      </c>
      <c r="K507" s="21">
        <v>952409.3899999999</v>
      </c>
      <c r="L507" s="2"/>
    </row>
    <row r="508" spans="1:12" x14ac:dyDescent="0.25">
      <c r="A508" s="58">
        <v>46043</v>
      </c>
      <c r="B508" s="18">
        <v>0.25</v>
      </c>
      <c r="C508" s="19">
        <v>6.43</v>
      </c>
      <c r="D508" s="19">
        <v>70.319999999999993</v>
      </c>
      <c r="E508" s="20">
        <v>1.04</v>
      </c>
      <c r="F508" s="19">
        <v>3.33</v>
      </c>
      <c r="G508" s="19">
        <v>17.22</v>
      </c>
      <c r="H508" s="20">
        <v>13.73</v>
      </c>
      <c r="I508" s="20">
        <v>33.57</v>
      </c>
      <c r="J508" s="20">
        <v>948.91</v>
      </c>
      <c r="K508" s="21">
        <v>954974.76</v>
      </c>
      <c r="L508" s="2"/>
    </row>
    <row r="509" spans="1:12" x14ac:dyDescent="0.25">
      <c r="A509" s="58">
        <v>46043</v>
      </c>
      <c r="B509" s="18">
        <v>0.29166666666666669</v>
      </c>
      <c r="C509" s="19">
        <v>6.9</v>
      </c>
      <c r="D509" s="19">
        <v>71.319999999999993</v>
      </c>
      <c r="E509" s="20">
        <v>1.41</v>
      </c>
      <c r="F509" s="19">
        <v>4.41</v>
      </c>
      <c r="G509" s="19">
        <v>17.260000000000002</v>
      </c>
      <c r="H509" s="20">
        <v>13.67</v>
      </c>
      <c r="I509" s="20">
        <v>32.35</v>
      </c>
      <c r="J509" s="20">
        <v>948.78</v>
      </c>
      <c r="K509" s="21">
        <v>972903.57000000007</v>
      </c>
      <c r="L509" s="2"/>
    </row>
    <row r="510" spans="1:12" x14ac:dyDescent="0.25">
      <c r="A510" s="58">
        <v>46043</v>
      </c>
      <c r="B510" s="18">
        <v>0.33333333333333331</v>
      </c>
      <c r="C510" s="19">
        <v>7.29</v>
      </c>
      <c r="D510" s="19">
        <v>71.67</v>
      </c>
      <c r="E510" s="20">
        <v>1.18</v>
      </c>
      <c r="F510" s="19">
        <v>5.73</v>
      </c>
      <c r="G510" s="19">
        <v>17.21</v>
      </c>
      <c r="H510" s="20">
        <v>13.67</v>
      </c>
      <c r="I510" s="20">
        <v>32.14</v>
      </c>
      <c r="J510" s="20">
        <v>948.71</v>
      </c>
      <c r="K510" s="21">
        <v>950629.09000000008</v>
      </c>
      <c r="L510" s="2"/>
    </row>
    <row r="511" spans="1:12" x14ac:dyDescent="0.25">
      <c r="A511" s="58">
        <v>46043</v>
      </c>
      <c r="B511" s="18">
        <v>0.375</v>
      </c>
      <c r="C511" s="19">
        <v>5.88</v>
      </c>
      <c r="D511" s="19">
        <v>70.08</v>
      </c>
      <c r="E511" s="20">
        <v>1.23</v>
      </c>
      <c r="F511" s="19">
        <v>3.61</v>
      </c>
      <c r="G511" s="19">
        <v>17.23</v>
      </c>
      <c r="H511" s="20">
        <v>13.69</v>
      </c>
      <c r="I511" s="20">
        <v>32.479999999999997</v>
      </c>
      <c r="J511" s="20">
        <v>948.09</v>
      </c>
      <c r="K511" s="21">
        <v>944927.85000000009</v>
      </c>
      <c r="L511" s="2"/>
    </row>
    <row r="512" spans="1:12" x14ac:dyDescent="0.25">
      <c r="A512" s="58">
        <v>46043</v>
      </c>
      <c r="B512" s="18">
        <v>0.41666666666666669</v>
      </c>
      <c r="C512" s="19">
        <v>6.1</v>
      </c>
      <c r="D512" s="19">
        <v>70.09</v>
      </c>
      <c r="E512" s="20">
        <v>1.18</v>
      </c>
      <c r="F512" s="19">
        <v>3.9</v>
      </c>
      <c r="G512" s="19">
        <v>17.260000000000002</v>
      </c>
      <c r="H512" s="20">
        <v>13.71</v>
      </c>
      <c r="I512" s="20">
        <v>32.869999999999997</v>
      </c>
      <c r="J512" s="20">
        <v>947.78</v>
      </c>
      <c r="K512" s="21">
        <v>964272.65999999992</v>
      </c>
      <c r="L512" s="2"/>
    </row>
    <row r="513" spans="1:12" x14ac:dyDescent="0.25">
      <c r="A513" s="58">
        <v>46043</v>
      </c>
      <c r="B513" s="18">
        <v>0.45833333333333331</v>
      </c>
      <c r="C513" s="19">
        <v>7.24</v>
      </c>
      <c r="D513" s="19">
        <v>69.22</v>
      </c>
      <c r="E513" s="20">
        <v>1.1100000000000001</v>
      </c>
      <c r="F513" s="19">
        <v>5.1100000000000003</v>
      </c>
      <c r="G513" s="19">
        <v>17.25</v>
      </c>
      <c r="H513" s="20">
        <v>13.75</v>
      </c>
      <c r="I513" s="20">
        <v>33.54</v>
      </c>
      <c r="J513" s="20">
        <v>947.28</v>
      </c>
      <c r="K513" s="21">
        <v>949963.8</v>
      </c>
      <c r="L513" s="2"/>
    </row>
    <row r="514" spans="1:12" x14ac:dyDescent="0.25">
      <c r="A514" s="58">
        <v>46043</v>
      </c>
      <c r="B514" s="18">
        <v>0.5</v>
      </c>
      <c r="C514" s="19">
        <v>6.82</v>
      </c>
      <c r="D514" s="19">
        <v>67.48</v>
      </c>
      <c r="E514" s="20">
        <v>1.1000000000000001</v>
      </c>
      <c r="F514" s="19">
        <v>14.76</v>
      </c>
      <c r="G514" s="19">
        <v>17.23</v>
      </c>
      <c r="H514" s="20">
        <v>13.81</v>
      </c>
      <c r="I514" s="20">
        <v>34.51</v>
      </c>
      <c r="J514" s="20">
        <v>946.24</v>
      </c>
      <c r="K514" s="21">
        <v>932439.73</v>
      </c>
      <c r="L514" s="2"/>
    </row>
    <row r="515" spans="1:12" x14ac:dyDescent="0.25">
      <c r="A515" s="58">
        <v>46043</v>
      </c>
      <c r="B515" s="18">
        <v>0.54166666666666663</v>
      </c>
      <c r="C515" s="19">
        <v>6.25</v>
      </c>
      <c r="D515" s="19">
        <v>65.98</v>
      </c>
      <c r="E515" s="20">
        <v>1.98</v>
      </c>
      <c r="F515" s="19">
        <v>26.54</v>
      </c>
      <c r="G515" s="19">
        <v>17.23</v>
      </c>
      <c r="H515" s="20">
        <v>13.86</v>
      </c>
      <c r="I515" s="20">
        <v>35.299999999999997</v>
      </c>
      <c r="J515" s="20">
        <v>945.36</v>
      </c>
      <c r="K515" s="21">
        <v>918378.22</v>
      </c>
      <c r="L515" s="2"/>
    </row>
    <row r="516" spans="1:12" x14ac:dyDescent="0.25">
      <c r="A516" s="58">
        <v>46043</v>
      </c>
      <c r="B516" s="18">
        <v>0.58333333333333337</v>
      </c>
      <c r="C516" s="19">
        <v>7.88</v>
      </c>
      <c r="D516" s="19">
        <v>66.45</v>
      </c>
      <c r="E516" s="20">
        <v>2.2200000000000002</v>
      </c>
      <c r="F516" s="19">
        <v>20.95</v>
      </c>
      <c r="G516" s="19">
        <v>17.22</v>
      </c>
      <c r="H516" s="20">
        <v>13.9</v>
      </c>
      <c r="I516" s="20">
        <v>36.01</v>
      </c>
      <c r="J516" s="20">
        <v>944.38</v>
      </c>
      <c r="K516" s="21">
        <v>916176.14999999991</v>
      </c>
      <c r="L516" s="2"/>
    </row>
    <row r="517" spans="1:12" x14ac:dyDescent="0.25">
      <c r="A517" s="58">
        <v>46043</v>
      </c>
      <c r="B517" s="18">
        <v>0.625</v>
      </c>
      <c r="C517" s="19">
        <v>6.55</v>
      </c>
      <c r="D517" s="19">
        <v>66.02</v>
      </c>
      <c r="E517" s="20">
        <v>1.98</v>
      </c>
      <c r="F517" s="19">
        <v>21.83</v>
      </c>
      <c r="G517" s="19">
        <v>17.23</v>
      </c>
      <c r="H517" s="20">
        <v>13.93</v>
      </c>
      <c r="I517" s="20">
        <v>36.43</v>
      </c>
      <c r="J517" s="20">
        <v>943.68</v>
      </c>
      <c r="K517" s="21">
        <v>916336.01</v>
      </c>
      <c r="L517" s="2"/>
    </row>
    <row r="518" spans="1:12" x14ac:dyDescent="0.25">
      <c r="A518" s="58">
        <v>46043</v>
      </c>
      <c r="B518" s="18">
        <v>0.66666666666666663</v>
      </c>
      <c r="C518" s="19">
        <v>7.23</v>
      </c>
      <c r="D518" s="19">
        <v>65.78</v>
      </c>
      <c r="E518" s="20">
        <v>2.3199999999999998</v>
      </c>
      <c r="F518" s="19">
        <v>28.16</v>
      </c>
      <c r="G518" s="19">
        <v>17.21</v>
      </c>
      <c r="H518" s="20">
        <v>13.95</v>
      </c>
      <c r="I518" s="20">
        <v>36.58</v>
      </c>
      <c r="J518" s="20">
        <v>942.91</v>
      </c>
      <c r="K518" s="21">
        <v>903449.6399999999</v>
      </c>
      <c r="L518" s="2"/>
    </row>
    <row r="519" spans="1:12" x14ac:dyDescent="0.25">
      <c r="A519" s="58">
        <v>46043</v>
      </c>
      <c r="B519" s="18">
        <v>0.70833333333333337</v>
      </c>
      <c r="C519" s="19">
        <v>6.32</v>
      </c>
      <c r="D519" s="19">
        <v>64.63</v>
      </c>
      <c r="E519" s="20">
        <v>2.0299999999999998</v>
      </c>
      <c r="F519" s="19">
        <v>30.17</v>
      </c>
      <c r="G519" s="19">
        <v>17.190000000000001</v>
      </c>
      <c r="H519" s="20">
        <v>13.96</v>
      </c>
      <c r="I519" s="20">
        <v>36.56</v>
      </c>
      <c r="J519" s="20">
        <v>942.14</v>
      </c>
      <c r="K519" s="21">
        <v>912794.35000000009</v>
      </c>
      <c r="L519" s="2"/>
    </row>
    <row r="520" spans="1:12" x14ac:dyDescent="0.25">
      <c r="A520" s="58">
        <v>46043</v>
      </c>
      <c r="B520" s="18">
        <v>0.75</v>
      </c>
      <c r="C520" s="19">
        <v>7.41</v>
      </c>
      <c r="D520" s="19">
        <v>65.069999999999993</v>
      </c>
      <c r="E520" s="20">
        <v>2.4900000000000002</v>
      </c>
      <c r="F520" s="19">
        <v>27.72</v>
      </c>
      <c r="G520" s="19">
        <v>17.190000000000001</v>
      </c>
      <c r="H520" s="20">
        <v>13.97</v>
      </c>
      <c r="I520" s="20">
        <v>36.57</v>
      </c>
      <c r="J520" s="20">
        <v>941.51</v>
      </c>
      <c r="K520" s="21">
        <v>918871.79</v>
      </c>
      <c r="L520" s="2"/>
    </row>
    <row r="521" spans="1:12" x14ac:dyDescent="0.25">
      <c r="A521" s="58">
        <v>46043</v>
      </c>
      <c r="B521" s="18">
        <v>0.79166666666666663</v>
      </c>
      <c r="C521" s="19">
        <v>6.35</v>
      </c>
      <c r="D521" s="19">
        <v>64.89</v>
      </c>
      <c r="E521" s="20">
        <v>2.69</v>
      </c>
      <c r="F521" s="19">
        <v>31.45</v>
      </c>
      <c r="G521" s="19">
        <v>17.18</v>
      </c>
      <c r="H521" s="20">
        <v>13.99</v>
      </c>
      <c r="I521" s="20">
        <v>36.78</v>
      </c>
      <c r="J521" s="20">
        <v>940.84</v>
      </c>
      <c r="K521" s="21">
        <v>918777.34000000008</v>
      </c>
      <c r="L521" s="2"/>
    </row>
    <row r="522" spans="1:12" x14ac:dyDescent="0.25">
      <c r="A522" s="58">
        <v>46043</v>
      </c>
      <c r="B522" s="18">
        <v>0.83333333333333337</v>
      </c>
      <c r="C522" s="19">
        <v>6.4</v>
      </c>
      <c r="D522" s="19">
        <v>64.98</v>
      </c>
      <c r="E522" s="20">
        <v>3</v>
      </c>
      <c r="F522" s="19">
        <v>31.89</v>
      </c>
      <c r="G522" s="19">
        <v>17.190000000000001</v>
      </c>
      <c r="H522" s="20">
        <v>14.01</v>
      </c>
      <c r="I522" s="20">
        <v>36.869999999999997</v>
      </c>
      <c r="J522" s="20">
        <v>939.95</v>
      </c>
      <c r="K522" s="21">
        <v>923814.25</v>
      </c>
      <c r="L522" s="2"/>
    </row>
    <row r="523" spans="1:12" x14ac:dyDescent="0.25">
      <c r="A523" s="58">
        <v>46043</v>
      </c>
      <c r="B523" s="18">
        <v>0.875</v>
      </c>
      <c r="C523" s="19">
        <v>6.43</v>
      </c>
      <c r="D523" s="19">
        <v>66.47</v>
      </c>
      <c r="E523" s="20">
        <v>3</v>
      </c>
      <c r="F523" s="19">
        <v>23.32</v>
      </c>
      <c r="G523" s="19">
        <v>17.2</v>
      </c>
      <c r="H523" s="20">
        <v>14.03</v>
      </c>
      <c r="I523" s="20">
        <v>37.11</v>
      </c>
      <c r="J523" s="20">
        <v>939.32</v>
      </c>
      <c r="K523" s="21">
        <v>909369.22</v>
      </c>
      <c r="L523" s="2"/>
    </row>
    <row r="524" spans="1:12" x14ac:dyDescent="0.25">
      <c r="A524" s="58">
        <v>46043</v>
      </c>
      <c r="B524" s="18">
        <v>0.91666666666666663</v>
      </c>
      <c r="C524" s="19">
        <v>7.1</v>
      </c>
      <c r="D524" s="19">
        <v>68.2</v>
      </c>
      <c r="E524" s="20">
        <v>2.4</v>
      </c>
      <c r="F524" s="19">
        <v>12.41</v>
      </c>
      <c r="G524" s="19">
        <v>17.190000000000001</v>
      </c>
      <c r="H524" s="20">
        <v>14.05</v>
      </c>
      <c r="I524" s="20">
        <v>37.49</v>
      </c>
      <c r="J524" s="20">
        <v>938.58</v>
      </c>
      <c r="K524" s="21">
        <v>925442.41999999993</v>
      </c>
      <c r="L524" s="2"/>
    </row>
    <row r="525" spans="1:12" ht="15.75" thickBot="1" x14ac:dyDescent="0.3">
      <c r="A525" s="60">
        <v>46043</v>
      </c>
      <c r="B525" s="35">
        <v>0.95833333333333337</v>
      </c>
      <c r="C525" s="23">
        <v>7.14</v>
      </c>
      <c r="D525" s="23">
        <v>68.27</v>
      </c>
      <c r="E525" s="24">
        <v>2.92</v>
      </c>
      <c r="F525" s="23">
        <v>10.85</v>
      </c>
      <c r="G525" s="23">
        <v>17.21</v>
      </c>
      <c r="H525" s="24">
        <v>14.07</v>
      </c>
      <c r="I525" s="24">
        <v>37.61</v>
      </c>
      <c r="J525" s="24">
        <v>937.94</v>
      </c>
      <c r="K525" s="25">
        <v>920823.15999999992</v>
      </c>
      <c r="L525" s="2"/>
    </row>
    <row r="526" spans="1:12" ht="15.75" thickBot="1" x14ac:dyDescent="0.3">
      <c r="A526" s="26" t="s">
        <v>32</v>
      </c>
      <c r="B526" s="44"/>
      <c r="C526" s="45">
        <f t="shared" ref="C526:K526" si="20">IFERROR(ROUND(AVERAGE(C502:C525), 2), "")</f>
        <v>6.64</v>
      </c>
      <c r="D526" s="45">
        <f t="shared" si="20"/>
        <v>68.239999999999995</v>
      </c>
      <c r="E526" s="45">
        <f t="shared" si="20"/>
        <v>1.74</v>
      </c>
      <c r="F526" s="45">
        <f t="shared" si="20"/>
        <v>13.98</v>
      </c>
      <c r="G526" s="45">
        <f t="shared" si="20"/>
        <v>17.22</v>
      </c>
      <c r="H526" s="45">
        <f t="shared" si="20"/>
        <v>13.84</v>
      </c>
      <c r="I526" s="45">
        <f t="shared" si="20"/>
        <v>35.11</v>
      </c>
      <c r="J526" s="45">
        <f t="shared" si="20"/>
        <v>945.91</v>
      </c>
      <c r="K526" s="46">
        <f t="shared" si="20"/>
        <v>934425.46</v>
      </c>
      <c r="L526" s="7"/>
    </row>
    <row r="527" spans="1:12" x14ac:dyDescent="0.25">
      <c r="A527" s="57">
        <v>46044</v>
      </c>
      <c r="B527" s="14">
        <v>0</v>
      </c>
      <c r="C527" s="15">
        <v>6.47</v>
      </c>
      <c r="D527" s="15">
        <v>67.930000000000007</v>
      </c>
      <c r="E527" s="15">
        <v>2.87</v>
      </c>
      <c r="F527" s="15">
        <v>11.92</v>
      </c>
      <c r="G527" s="15">
        <v>17.21</v>
      </c>
      <c r="H527" s="16">
        <v>14.09</v>
      </c>
      <c r="I527" s="16">
        <v>37.659999999999997</v>
      </c>
      <c r="J527" s="16">
        <v>937.11</v>
      </c>
      <c r="K527" s="17">
        <v>922578.8</v>
      </c>
      <c r="L527" s="2"/>
    </row>
    <row r="528" spans="1:12" x14ac:dyDescent="0.25">
      <c r="A528" s="58">
        <v>46044</v>
      </c>
      <c r="B528" s="18">
        <v>4.1666666666666664E-2</v>
      </c>
      <c r="C528" s="19">
        <v>6.41</v>
      </c>
      <c r="D528" s="19">
        <v>67.83</v>
      </c>
      <c r="E528" s="19">
        <v>2.64</v>
      </c>
      <c r="F528" s="19">
        <v>13.72</v>
      </c>
      <c r="G528" s="19">
        <v>17.2</v>
      </c>
      <c r="H528" s="20">
        <v>14.11</v>
      </c>
      <c r="I528" s="20">
        <v>37.89</v>
      </c>
      <c r="J528" s="20">
        <v>936.32</v>
      </c>
      <c r="K528" s="21">
        <v>924388.69</v>
      </c>
      <c r="L528" s="2"/>
    </row>
    <row r="529" spans="1:12" x14ac:dyDescent="0.25">
      <c r="A529" s="58">
        <v>46044</v>
      </c>
      <c r="B529" s="18">
        <v>8.3333333333333329E-2</v>
      </c>
      <c r="C529" s="19">
        <v>6.14</v>
      </c>
      <c r="D529" s="19">
        <v>67.900000000000006</v>
      </c>
      <c r="E529" s="19">
        <v>2.4900000000000002</v>
      </c>
      <c r="F529" s="19">
        <v>14.86</v>
      </c>
      <c r="G529" s="19">
        <v>17.2</v>
      </c>
      <c r="H529" s="20">
        <v>14.13</v>
      </c>
      <c r="I529" s="20">
        <v>38.090000000000003</v>
      </c>
      <c r="J529" s="20">
        <v>935.51</v>
      </c>
      <c r="K529" s="21">
        <v>916942.12000000011</v>
      </c>
      <c r="L529" s="2"/>
    </row>
    <row r="530" spans="1:12" x14ac:dyDescent="0.25">
      <c r="A530" s="58">
        <v>46044</v>
      </c>
      <c r="B530" s="18">
        <v>0.125</v>
      </c>
      <c r="C530" s="19">
        <v>5.85</v>
      </c>
      <c r="D530" s="19">
        <v>67.319999999999993</v>
      </c>
      <c r="E530" s="19">
        <v>2.59</v>
      </c>
      <c r="F530" s="19">
        <v>15.28</v>
      </c>
      <c r="G530" s="19">
        <v>17.23</v>
      </c>
      <c r="H530" s="20">
        <v>14.15</v>
      </c>
      <c r="I530" s="20">
        <v>38.229999999999997</v>
      </c>
      <c r="J530" s="20">
        <v>934.66</v>
      </c>
      <c r="K530" s="21">
        <v>917549.46</v>
      </c>
      <c r="L530" s="2"/>
    </row>
    <row r="531" spans="1:12" x14ac:dyDescent="0.25">
      <c r="A531" s="58">
        <v>46044</v>
      </c>
      <c r="B531" s="18">
        <v>0.16666666666666666</v>
      </c>
      <c r="C531" s="19">
        <v>6.69</v>
      </c>
      <c r="D531" s="19">
        <v>67.63</v>
      </c>
      <c r="E531" s="19">
        <v>2.65</v>
      </c>
      <c r="F531" s="19">
        <v>15.87</v>
      </c>
      <c r="G531" s="19">
        <v>17.2</v>
      </c>
      <c r="H531" s="20">
        <v>14.17</v>
      </c>
      <c r="I531" s="20">
        <v>38.26</v>
      </c>
      <c r="J531" s="20">
        <v>933.81</v>
      </c>
      <c r="K531" s="21">
        <v>922432.03</v>
      </c>
      <c r="L531" s="2"/>
    </row>
    <row r="532" spans="1:12" x14ac:dyDescent="0.25">
      <c r="A532" s="58">
        <v>46044</v>
      </c>
      <c r="B532" s="18">
        <v>0.20833333333333334</v>
      </c>
      <c r="C532" s="19">
        <v>6.65</v>
      </c>
      <c r="D532" s="19">
        <v>67.900000000000006</v>
      </c>
      <c r="E532" s="19">
        <v>2</v>
      </c>
      <c r="F532" s="19">
        <v>17.989999999999998</v>
      </c>
      <c r="G532" s="19">
        <v>17.21</v>
      </c>
      <c r="H532" s="20">
        <v>14.18</v>
      </c>
      <c r="I532" s="20">
        <v>38.299999999999997</v>
      </c>
      <c r="J532" s="20">
        <v>933.19</v>
      </c>
      <c r="K532" s="21">
        <v>912747.59000000008</v>
      </c>
      <c r="L532" s="2"/>
    </row>
    <row r="533" spans="1:12" x14ac:dyDescent="0.25">
      <c r="A533" s="58">
        <v>46044</v>
      </c>
      <c r="B533" s="18">
        <v>0.25</v>
      </c>
      <c r="C533" s="19">
        <v>6.03</v>
      </c>
      <c r="D533" s="19">
        <v>66.599999999999994</v>
      </c>
      <c r="E533" s="19">
        <v>2.36</v>
      </c>
      <c r="F533" s="19">
        <v>17.18</v>
      </c>
      <c r="G533" s="19">
        <v>17.2</v>
      </c>
      <c r="H533" s="20">
        <v>14.18</v>
      </c>
      <c r="I533" s="20">
        <v>38.21</v>
      </c>
      <c r="J533" s="20">
        <v>932.69</v>
      </c>
      <c r="K533" s="21">
        <v>908160.14999999991</v>
      </c>
      <c r="L533" s="2"/>
    </row>
    <row r="534" spans="1:12" x14ac:dyDescent="0.25">
      <c r="A534" s="58">
        <v>46044</v>
      </c>
      <c r="B534" s="18">
        <v>0.29166666666666669</v>
      </c>
      <c r="C534" s="19">
        <v>6.68</v>
      </c>
      <c r="D534" s="19">
        <v>67.069999999999993</v>
      </c>
      <c r="E534" s="19">
        <v>1.7</v>
      </c>
      <c r="F534" s="19">
        <v>18.96</v>
      </c>
      <c r="G534" s="19">
        <v>17.2</v>
      </c>
      <c r="H534" s="20">
        <v>14.2</v>
      </c>
      <c r="I534" s="20">
        <v>38.35</v>
      </c>
      <c r="J534" s="20">
        <v>932.21</v>
      </c>
      <c r="K534" s="21">
        <v>917621.54</v>
      </c>
      <c r="L534" s="2"/>
    </row>
    <row r="535" spans="1:12" x14ac:dyDescent="0.25">
      <c r="A535" s="58">
        <v>46044</v>
      </c>
      <c r="B535" s="18">
        <v>0.33333333333333331</v>
      </c>
      <c r="C535" s="19">
        <v>6.12</v>
      </c>
      <c r="D535" s="19">
        <v>67.48</v>
      </c>
      <c r="E535" s="19">
        <v>2.35</v>
      </c>
      <c r="F535" s="19">
        <v>19.510000000000002</v>
      </c>
      <c r="G535" s="19">
        <v>17.21</v>
      </c>
      <c r="H535" s="20">
        <v>14.21</v>
      </c>
      <c r="I535" s="20">
        <v>38.450000000000003</v>
      </c>
      <c r="J535" s="20">
        <v>931.9</v>
      </c>
      <c r="K535" s="21">
        <v>915122.6399999999</v>
      </c>
      <c r="L535" s="2"/>
    </row>
    <row r="536" spans="1:12" x14ac:dyDescent="0.25">
      <c r="A536" s="58">
        <v>46044</v>
      </c>
      <c r="B536" s="18">
        <v>0.375</v>
      </c>
      <c r="C536" s="19">
        <v>7.36</v>
      </c>
      <c r="D536" s="19">
        <v>68.05</v>
      </c>
      <c r="E536" s="19">
        <v>1.93</v>
      </c>
      <c r="F536" s="19">
        <v>19.71</v>
      </c>
      <c r="G536" s="19">
        <v>17.21</v>
      </c>
      <c r="H536" s="20">
        <v>14.22</v>
      </c>
      <c r="I536" s="20">
        <v>38.74</v>
      </c>
      <c r="J536" s="20">
        <v>931.39</v>
      </c>
      <c r="K536" s="21">
        <v>912640.83000000007</v>
      </c>
      <c r="L536" s="2"/>
    </row>
    <row r="537" spans="1:12" x14ac:dyDescent="0.25">
      <c r="A537" s="58">
        <v>46044</v>
      </c>
      <c r="B537" s="18">
        <v>0.41666666666666669</v>
      </c>
      <c r="C537" s="19">
        <v>5.98</v>
      </c>
      <c r="D537" s="19">
        <v>75.010000000000005</v>
      </c>
      <c r="E537" s="19">
        <v>1.61</v>
      </c>
      <c r="F537" s="19">
        <v>2.48</v>
      </c>
      <c r="G537" s="19">
        <v>17.46</v>
      </c>
      <c r="H537" s="20">
        <v>14.19</v>
      </c>
      <c r="I537" s="20">
        <v>37.79</v>
      </c>
      <c r="J537" s="20">
        <v>930.98</v>
      </c>
      <c r="K537" s="21">
        <v>862690.41999999993</v>
      </c>
      <c r="L537" s="2"/>
    </row>
    <row r="538" spans="1:12" x14ac:dyDescent="0.25">
      <c r="A538" s="58">
        <v>46044</v>
      </c>
      <c r="B538" s="18">
        <v>0.45833333333333331</v>
      </c>
      <c r="C538" s="19">
        <v>6.77</v>
      </c>
      <c r="D538" s="19">
        <v>76.73</v>
      </c>
      <c r="E538" s="19">
        <v>2.0699999999999998</v>
      </c>
      <c r="F538" s="19">
        <v>0.15</v>
      </c>
      <c r="G538" s="19">
        <v>17.420000000000002</v>
      </c>
      <c r="H538" s="20">
        <v>14.21</v>
      </c>
      <c r="I538" s="20">
        <v>38.03</v>
      </c>
      <c r="J538" s="20">
        <v>930.44</v>
      </c>
      <c r="K538" s="21">
        <v>876743.6399999999</v>
      </c>
      <c r="L538" s="2"/>
    </row>
    <row r="539" spans="1:12" x14ac:dyDescent="0.25">
      <c r="A539" s="58">
        <v>46044</v>
      </c>
      <c r="B539" s="18">
        <v>0.5</v>
      </c>
      <c r="C539" s="19">
        <v>5.94</v>
      </c>
      <c r="D539" s="19">
        <v>76.2</v>
      </c>
      <c r="E539" s="19">
        <v>2.44</v>
      </c>
      <c r="F539" s="19">
        <v>0.17</v>
      </c>
      <c r="G539" s="19">
        <v>17.41</v>
      </c>
      <c r="H539" s="20">
        <v>14.22</v>
      </c>
      <c r="I539" s="20">
        <v>38.08</v>
      </c>
      <c r="J539" s="20">
        <v>929.97</v>
      </c>
      <c r="K539" s="21">
        <v>883382.27</v>
      </c>
      <c r="L539" s="2"/>
    </row>
    <row r="540" spans="1:12" x14ac:dyDescent="0.25">
      <c r="A540" s="58">
        <v>46044</v>
      </c>
      <c r="B540" s="18">
        <v>0.54166666666666663</v>
      </c>
      <c r="C540" s="19">
        <v>7.8</v>
      </c>
      <c r="D540" s="19">
        <v>74.73</v>
      </c>
      <c r="E540" s="19">
        <v>2.33</v>
      </c>
      <c r="F540" s="19">
        <v>0.14000000000000001</v>
      </c>
      <c r="G540" s="19">
        <v>17.399999999999999</v>
      </c>
      <c r="H540" s="20">
        <v>14.22</v>
      </c>
      <c r="I540" s="20">
        <v>37.9</v>
      </c>
      <c r="J540" s="20">
        <v>929.51</v>
      </c>
      <c r="K540" s="21">
        <v>872301.12000000011</v>
      </c>
      <c r="L540" s="2"/>
    </row>
    <row r="541" spans="1:12" x14ac:dyDescent="0.25">
      <c r="A541" s="58">
        <v>46044</v>
      </c>
      <c r="B541" s="18">
        <v>0.58333333333333337</v>
      </c>
      <c r="C541" s="19">
        <v>7</v>
      </c>
      <c r="D541" s="19">
        <v>74.17</v>
      </c>
      <c r="E541" s="19">
        <v>2.19</v>
      </c>
      <c r="F541" s="19">
        <v>0.22</v>
      </c>
      <c r="G541" s="19">
        <v>17.41</v>
      </c>
      <c r="H541" s="20">
        <v>14.22</v>
      </c>
      <c r="I541" s="20">
        <v>37.81</v>
      </c>
      <c r="J541" s="20">
        <v>929.3</v>
      </c>
      <c r="K541" s="21">
        <v>860458.47</v>
      </c>
      <c r="L541" s="2"/>
    </row>
    <row r="542" spans="1:12" x14ac:dyDescent="0.25">
      <c r="A542" s="58">
        <v>46044</v>
      </c>
      <c r="B542" s="18">
        <v>0.625</v>
      </c>
      <c r="C542" s="19">
        <v>7.21</v>
      </c>
      <c r="D542" s="19">
        <v>74.38</v>
      </c>
      <c r="E542" s="19">
        <v>2.54</v>
      </c>
      <c r="F542" s="19">
        <v>0.26</v>
      </c>
      <c r="G542" s="19">
        <v>17.399999999999999</v>
      </c>
      <c r="H542" s="20">
        <v>14.22</v>
      </c>
      <c r="I542" s="20">
        <v>37.9</v>
      </c>
      <c r="J542" s="20">
        <v>929.28</v>
      </c>
      <c r="K542" s="21">
        <v>850730.21</v>
      </c>
      <c r="L542" s="2"/>
    </row>
    <row r="543" spans="1:12" x14ac:dyDescent="0.25">
      <c r="A543" s="58">
        <v>46044</v>
      </c>
      <c r="B543" s="18">
        <v>0.66666666666666663</v>
      </c>
      <c r="C543" s="19">
        <v>7.22</v>
      </c>
      <c r="D543" s="19">
        <v>75.319999999999993</v>
      </c>
      <c r="E543" s="19">
        <v>2.4500000000000002</v>
      </c>
      <c r="F543" s="19">
        <v>0.56000000000000005</v>
      </c>
      <c r="G543" s="19">
        <v>17.420000000000002</v>
      </c>
      <c r="H543" s="20">
        <v>14.23</v>
      </c>
      <c r="I543" s="20">
        <v>38.03</v>
      </c>
      <c r="J543" s="20">
        <v>929.06</v>
      </c>
      <c r="K543" s="21">
        <v>855321.58000000007</v>
      </c>
      <c r="L543" s="2"/>
    </row>
    <row r="544" spans="1:12" x14ac:dyDescent="0.25">
      <c r="A544" s="58">
        <v>46044</v>
      </c>
      <c r="B544" s="18">
        <v>0.70833333333333337</v>
      </c>
      <c r="C544" s="19">
        <v>6.43</v>
      </c>
      <c r="D544" s="19">
        <v>75.010000000000005</v>
      </c>
      <c r="E544" s="19">
        <v>2.21</v>
      </c>
      <c r="F544" s="19">
        <v>0.42</v>
      </c>
      <c r="G544" s="19">
        <v>17.420000000000002</v>
      </c>
      <c r="H544" s="20">
        <v>14.23</v>
      </c>
      <c r="I544" s="20">
        <v>38.08</v>
      </c>
      <c r="J544" s="20">
        <v>929.06</v>
      </c>
      <c r="K544" s="21">
        <v>851684.21</v>
      </c>
      <c r="L544" s="2"/>
    </row>
    <row r="545" spans="1:12" x14ac:dyDescent="0.25">
      <c r="A545" s="58">
        <v>46044</v>
      </c>
      <c r="B545" s="18">
        <v>0.75</v>
      </c>
      <c r="C545" s="19">
        <v>7.75</v>
      </c>
      <c r="D545" s="19">
        <v>75.540000000000006</v>
      </c>
      <c r="E545" s="19">
        <v>1.95</v>
      </c>
      <c r="F545" s="19">
        <v>0.75</v>
      </c>
      <c r="G545" s="19">
        <v>17.399999999999999</v>
      </c>
      <c r="H545" s="20">
        <v>14.22</v>
      </c>
      <c r="I545" s="20">
        <v>37.909999999999997</v>
      </c>
      <c r="J545" s="20">
        <v>929.26</v>
      </c>
      <c r="K545" s="21">
        <v>844484.17999999993</v>
      </c>
      <c r="L545" s="2"/>
    </row>
    <row r="546" spans="1:12" x14ac:dyDescent="0.25">
      <c r="A546" s="58">
        <v>46044</v>
      </c>
      <c r="B546" s="18">
        <v>0.79166666666666663</v>
      </c>
      <c r="C546" s="19">
        <v>5.5</v>
      </c>
      <c r="D546" s="19">
        <v>74.69</v>
      </c>
      <c r="E546" s="19">
        <v>1.57</v>
      </c>
      <c r="F546" s="19">
        <v>0.65</v>
      </c>
      <c r="G546" s="19">
        <v>17.420000000000002</v>
      </c>
      <c r="H546" s="20">
        <v>14.2</v>
      </c>
      <c r="I546" s="20">
        <v>37.49</v>
      </c>
      <c r="J546" s="20">
        <v>929.41</v>
      </c>
      <c r="K546" s="21">
        <v>861661.07000000007</v>
      </c>
      <c r="L546" s="2"/>
    </row>
    <row r="547" spans="1:12" x14ac:dyDescent="0.25">
      <c r="A547" s="58">
        <v>46044</v>
      </c>
      <c r="B547" s="18">
        <v>0.83333333333333337</v>
      </c>
      <c r="C547" s="19">
        <v>4.34</v>
      </c>
      <c r="D547" s="19">
        <v>74.73</v>
      </c>
      <c r="E547" s="19">
        <v>1.82</v>
      </c>
      <c r="F547" s="19">
        <v>0.79</v>
      </c>
      <c r="G547" s="19">
        <v>17.45</v>
      </c>
      <c r="H547" s="20">
        <v>14.18</v>
      </c>
      <c r="I547" s="20">
        <v>37.01</v>
      </c>
      <c r="J547" s="20">
        <v>929.28</v>
      </c>
      <c r="K547" s="21">
        <v>874724.05</v>
      </c>
      <c r="L547" s="2"/>
    </row>
    <row r="548" spans="1:12" x14ac:dyDescent="0.25">
      <c r="A548" s="58">
        <v>46044</v>
      </c>
      <c r="B548" s="18">
        <v>0.875</v>
      </c>
      <c r="C548" s="19">
        <v>4.04</v>
      </c>
      <c r="D548" s="19">
        <v>74.2</v>
      </c>
      <c r="E548" s="19">
        <v>2.35</v>
      </c>
      <c r="F548" s="19">
        <v>0.81</v>
      </c>
      <c r="G548" s="19">
        <v>17.420000000000002</v>
      </c>
      <c r="H548" s="20">
        <v>14.19</v>
      </c>
      <c r="I548" s="20">
        <v>37.119999999999997</v>
      </c>
      <c r="J548" s="20">
        <v>929.11</v>
      </c>
      <c r="K548" s="21">
        <v>869097.21</v>
      </c>
      <c r="L548" s="2"/>
    </row>
    <row r="549" spans="1:12" x14ac:dyDescent="0.25">
      <c r="A549" s="58">
        <v>46044</v>
      </c>
      <c r="B549" s="18">
        <v>0.91666666666666663</v>
      </c>
      <c r="C549" s="19">
        <v>4.0999999999999996</v>
      </c>
      <c r="D549" s="19">
        <v>73.66</v>
      </c>
      <c r="E549" s="19">
        <v>2.58</v>
      </c>
      <c r="F549" s="19">
        <v>0.67</v>
      </c>
      <c r="G549" s="19">
        <v>17.46</v>
      </c>
      <c r="H549" s="20">
        <v>14.18</v>
      </c>
      <c r="I549" s="20">
        <v>36.950000000000003</v>
      </c>
      <c r="J549" s="20">
        <v>929.29</v>
      </c>
      <c r="K549" s="21">
        <v>870549.29</v>
      </c>
      <c r="L549" s="2"/>
    </row>
    <row r="550" spans="1:12" ht="15.75" thickBot="1" x14ac:dyDescent="0.3">
      <c r="A550" s="60">
        <v>46044</v>
      </c>
      <c r="B550" s="35">
        <v>0.95833333333333337</v>
      </c>
      <c r="C550" s="23">
        <v>5.42</v>
      </c>
      <c r="D550" s="23">
        <v>74.67</v>
      </c>
      <c r="E550" s="23">
        <v>2.1800000000000002</v>
      </c>
      <c r="F550" s="23">
        <v>0.55000000000000004</v>
      </c>
      <c r="G550" s="23">
        <v>17.47</v>
      </c>
      <c r="H550" s="24">
        <v>14.17</v>
      </c>
      <c r="I550" s="24">
        <v>36.840000000000003</v>
      </c>
      <c r="J550" s="24">
        <v>929.31</v>
      </c>
      <c r="K550" s="25">
        <v>881549.78</v>
      </c>
      <c r="L550" s="2"/>
    </row>
    <row r="551" spans="1:12" ht="15.75" thickBot="1" x14ac:dyDescent="0.3">
      <c r="A551" s="26" t="s">
        <v>33</v>
      </c>
      <c r="B551" s="44"/>
      <c r="C551" s="45">
        <f t="shared" ref="C551:K551" si="21">IFERROR(ROUND(AVERAGE(C527:C550), 2), "")</f>
        <v>6.25</v>
      </c>
      <c r="D551" s="45">
        <f t="shared" si="21"/>
        <v>71.86</v>
      </c>
      <c r="E551" s="45">
        <f t="shared" si="21"/>
        <v>2.2400000000000002</v>
      </c>
      <c r="F551" s="45">
        <f t="shared" si="21"/>
        <v>7.23</v>
      </c>
      <c r="G551" s="45">
        <f t="shared" si="21"/>
        <v>17.329999999999998</v>
      </c>
      <c r="H551" s="45">
        <f t="shared" si="21"/>
        <v>14.19</v>
      </c>
      <c r="I551" s="45">
        <f t="shared" si="21"/>
        <v>37.880000000000003</v>
      </c>
      <c r="J551" s="45">
        <f t="shared" si="21"/>
        <v>931.34</v>
      </c>
      <c r="K551" s="46">
        <f t="shared" si="21"/>
        <v>886898.39</v>
      </c>
      <c r="L551" s="7"/>
    </row>
    <row r="552" spans="1:12" x14ac:dyDescent="0.25">
      <c r="A552" s="57">
        <v>46045</v>
      </c>
      <c r="B552" s="14">
        <v>0</v>
      </c>
      <c r="C552" s="15">
        <v>5.18</v>
      </c>
      <c r="D552" s="15">
        <v>74.97</v>
      </c>
      <c r="E552" s="15">
        <v>2.06</v>
      </c>
      <c r="F552" s="15">
        <v>0.92</v>
      </c>
      <c r="G552" s="15">
        <v>17.47</v>
      </c>
      <c r="H552" s="16">
        <v>14.17</v>
      </c>
      <c r="I552" s="16">
        <v>36.799999999999997</v>
      </c>
      <c r="J552" s="16">
        <v>929.3</v>
      </c>
      <c r="K552" s="17">
        <v>879131.7</v>
      </c>
      <c r="L552" s="2"/>
    </row>
    <row r="553" spans="1:12" x14ac:dyDescent="0.25">
      <c r="A553" s="58">
        <v>46045</v>
      </c>
      <c r="B553" s="18">
        <v>4.1666666666666664E-2</v>
      </c>
      <c r="C553" s="19">
        <v>4.7</v>
      </c>
      <c r="D553" s="19">
        <v>74.84</v>
      </c>
      <c r="E553" s="19">
        <v>2.27</v>
      </c>
      <c r="F553" s="19">
        <v>0.57999999999999996</v>
      </c>
      <c r="G553" s="19">
        <v>17.45</v>
      </c>
      <c r="H553" s="20">
        <v>14.16</v>
      </c>
      <c r="I553" s="20">
        <v>36.71</v>
      </c>
      <c r="J553" s="20">
        <v>929.33</v>
      </c>
      <c r="K553" s="21">
        <v>875145.42999999993</v>
      </c>
      <c r="L553" s="2"/>
    </row>
    <row r="554" spans="1:12" x14ac:dyDescent="0.25">
      <c r="A554" s="58">
        <v>46045</v>
      </c>
      <c r="B554" s="18">
        <v>8.3333333333333329E-2</v>
      </c>
      <c r="C554" s="19">
        <v>3.89</v>
      </c>
      <c r="D554" s="19">
        <v>74.23</v>
      </c>
      <c r="E554" s="19">
        <v>1.87</v>
      </c>
      <c r="F554" s="19">
        <v>0.7</v>
      </c>
      <c r="G554" s="19">
        <v>17.489999999999998</v>
      </c>
      <c r="H554" s="20">
        <v>14.16</v>
      </c>
      <c r="I554" s="20">
        <v>36.700000000000003</v>
      </c>
      <c r="J554" s="20">
        <v>929.44</v>
      </c>
      <c r="K554" s="21">
        <v>889011.19</v>
      </c>
      <c r="L554" s="2"/>
    </row>
    <row r="555" spans="1:12" x14ac:dyDescent="0.25">
      <c r="A555" s="58">
        <v>46045</v>
      </c>
      <c r="B555" s="18">
        <v>0.125</v>
      </c>
      <c r="C555" s="19">
        <v>4.53</v>
      </c>
      <c r="D555" s="19">
        <v>74.25</v>
      </c>
      <c r="E555" s="19">
        <v>2.59</v>
      </c>
      <c r="F555" s="19">
        <v>0.85</v>
      </c>
      <c r="G555" s="19">
        <v>17.489999999999998</v>
      </c>
      <c r="H555" s="20">
        <v>14.16</v>
      </c>
      <c r="I555" s="20">
        <v>36.65</v>
      </c>
      <c r="J555" s="20">
        <v>929.49</v>
      </c>
      <c r="K555" s="21">
        <v>892090.29</v>
      </c>
      <c r="L555" s="2"/>
    </row>
    <row r="556" spans="1:12" x14ac:dyDescent="0.25">
      <c r="A556" s="58">
        <v>46045</v>
      </c>
      <c r="B556" s="18">
        <v>0.16666666666666666</v>
      </c>
      <c r="C556" s="19">
        <v>3.97</v>
      </c>
      <c r="D556" s="19">
        <v>75.3</v>
      </c>
      <c r="E556" s="19">
        <v>2.36</v>
      </c>
      <c r="F556" s="19">
        <v>1.0900000000000001</v>
      </c>
      <c r="G556" s="19">
        <v>17.45</v>
      </c>
      <c r="H556" s="20">
        <v>14.16</v>
      </c>
      <c r="I556" s="20">
        <v>36.71</v>
      </c>
      <c r="J556" s="20">
        <v>929.72</v>
      </c>
      <c r="K556" s="21">
        <v>877383.27</v>
      </c>
      <c r="L556" s="2"/>
    </row>
    <row r="557" spans="1:12" x14ac:dyDescent="0.25">
      <c r="A557" s="58">
        <v>46045</v>
      </c>
      <c r="B557" s="18">
        <v>0.20833333333333334</v>
      </c>
      <c r="C557" s="19">
        <v>5.95</v>
      </c>
      <c r="D557" s="19">
        <v>73.3</v>
      </c>
      <c r="E557" s="19">
        <v>1.9</v>
      </c>
      <c r="F557" s="19">
        <v>1.0900000000000001</v>
      </c>
      <c r="G557" s="19">
        <v>17.46</v>
      </c>
      <c r="H557" s="20">
        <v>14.16</v>
      </c>
      <c r="I557" s="20">
        <v>36.74</v>
      </c>
      <c r="J557" s="20">
        <v>929.91</v>
      </c>
      <c r="K557" s="21">
        <v>879056.04</v>
      </c>
      <c r="L557" s="2"/>
    </row>
    <row r="558" spans="1:12" x14ac:dyDescent="0.25">
      <c r="A558" s="58">
        <v>46045</v>
      </c>
      <c r="B558" s="18">
        <v>0.25</v>
      </c>
      <c r="C558" s="19">
        <v>6.17</v>
      </c>
      <c r="D558" s="19">
        <v>72.02</v>
      </c>
      <c r="E558" s="19">
        <v>2.04</v>
      </c>
      <c r="F558" s="19">
        <v>0.69</v>
      </c>
      <c r="G558" s="19">
        <v>17.47</v>
      </c>
      <c r="H558" s="20">
        <v>14.16</v>
      </c>
      <c r="I558" s="20">
        <v>36.82</v>
      </c>
      <c r="J558" s="20">
        <v>930.07</v>
      </c>
      <c r="K558" s="21">
        <v>879134.24</v>
      </c>
      <c r="L558" s="2"/>
    </row>
    <row r="559" spans="1:12" x14ac:dyDescent="0.25">
      <c r="A559" s="58">
        <v>46045</v>
      </c>
      <c r="B559" s="18">
        <v>0.29166666666666669</v>
      </c>
      <c r="C559" s="19">
        <v>6.5</v>
      </c>
      <c r="D559" s="19">
        <v>71.39</v>
      </c>
      <c r="E559" s="19">
        <v>2.27</v>
      </c>
      <c r="F559" s="19">
        <v>1.81</v>
      </c>
      <c r="G559" s="19">
        <v>17.45</v>
      </c>
      <c r="H559" s="20">
        <v>14.16</v>
      </c>
      <c r="I559" s="20">
        <v>36.909999999999997</v>
      </c>
      <c r="J559" s="20">
        <v>930.49</v>
      </c>
      <c r="K559" s="21">
        <v>888273.46</v>
      </c>
      <c r="L559" s="2"/>
    </row>
    <row r="560" spans="1:12" x14ac:dyDescent="0.25">
      <c r="A560" s="58">
        <v>46045</v>
      </c>
      <c r="B560" s="18">
        <v>0.33333333333333331</v>
      </c>
      <c r="C560" s="19">
        <v>6.66</v>
      </c>
      <c r="D560" s="19">
        <v>71.78</v>
      </c>
      <c r="E560" s="19">
        <v>1.9</v>
      </c>
      <c r="F560" s="19">
        <v>3.83</v>
      </c>
      <c r="G560" s="19">
        <v>17.41</v>
      </c>
      <c r="H560" s="20">
        <v>14.16</v>
      </c>
      <c r="I560" s="20">
        <v>37.06</v>
      </c>
      <c r="J560" s="20">
        <v>930.66</v>
      </c>
      <c r="K560" s="21">
        <v>909563.14999999991</v>
      </c>
      <c r="L560" s="2"/>
    </row>
    <row r="561" spans="1:12" x14ac:dyDescent="0.25">
      <c r="A561" s="58">
        <v>46045</v>
      </c>
      <c r="B561" s="18">
        <v>0.375</v>
      </c>
      <c r="C561" s="19">
        <v>6.06</v>
      </c>
      <c r="D561" s="19">
        <v>71.55</v>
      </c>
      <c r="E561" s="19">
        <v>2.65</v>
      </c>
      <c r="F561" s="19">
        <v>3.54</v>
      </c>
      <c r="G561" s="19">
        <v>17.41</v>
      </c>
      <c r="H561" s="20">
        <v>14.15</v>
      </c>
      <c r="I561" s="20">
        <v>37.08</v>
      </c>
      <c r="J561" s="20">
        <v>931.11</v>
      </c>
      <c r="K561" s="21">
        <v>912389.05</v>
      </c>
      <c r="L561" s="2"/>
    </row>
    <row r="562" spans="1:12" x14ac:dyDescent="0.25">
      <c r="A562" s="58">
        <v>46045</v>
      </c>
      <c r="B562" s="18">
        <v>0.41666666666666669</v>
      </c>
      <c r="C562" s="19">
        <v>5.62</v>
      </c>
      <c r="D562" s="19">
        <v>71.64</v>
      </c>
      <c r="E562" s="19">
        <v>2.1</v>
      </c>
      <c r="F562" s="19">
        <v>3.66</v>
      </c>
      <c r="G562" s="19">
        <v>17.39</v>
      </c>
      <c r="H562" s="20">
        <v>14.15</v>
      </c>
      <c r="I562" s="20">
        <v>37.18</v>
      </c>
      <c r="J562" s="20">
        <v>931.7</v>
      </c>
      <c r="K562" s="21">
        <v>914687.85000000009</v>
      </c>
      <c r="L562" s="2"/>
    </row>
    <row r="563" spans="1:12" x14ac:dyDescent="0.25">
      <c r="A563" s="58">
        <v>46045</v>
      </c>
      <c r="B563" s="18">
        <v>0.45833333333333331</v>
      </c>
      <c r="C563" s="19">
        <v>6.85</v>
      </c>
      <c r="D563" s="19">
        <v>72.48</v>
      </c>
      <c r="E563" s="19">
        <v>2.4700000000000002</v>
      </c>
      <c r="F563" s="19">
        <v>2.39</v>
      </c>
      <c r="G563" s="19">
        <v>17.41</v>
      </c>
      <c r="H563" s="20">
        <v>14.16</v>
      </c>
      <c r="I563" s="20">
        <v>37.47</v>
      </c>
      <c r="J563" s="20">
        <v>931.77</v>
      </c>
      <c r="K563" s="21">
        <v>916385.33000000007</v>
      </c>
      <c r="L563" s="2"/>
    </row>
    <row r="564" spans="1:12" x14ac:dyDescent="0.25">
      <c r="A564" s="58">
        <v>46045</v>
      </c>
      <c r="B564" s="18">
        <v>0.5</v>
      </c>
      <c r="C564" s="19">
        <v>4.79</v>
      </c>
      <c r="D564" s="19">
        <v>71.650000000000006</v>
      </c>
      <c r="E564" s="19">
        <v>2.4500000000000002</v>
      </c>
      <c r="F564" s="19">
        <v>2.08</v>
      </c>
      <c r="G564" s="19">
        <v>17.43</v>
      </c>
      <c r="H564" s="20">
        <v>14.18</v>
      </c>
      <c r="I564" s="20">
        <v>37.79</v>
      </c>
      <c r="J564" s="20">
        <v>931.75</v>
      </c>
      <c r="K564" s="21">
        <v>921073.49</v>
      </c>
      <c r="L564" s="2"/>
    </row>
    <row r="565" spans="1:12" x14ac:dyDescent="0.25">
      <c r="A565" s="58">
        <v>46045</v>
      </c>
      <c r="B565" s="18">
        <v>0.54166666666666663</v>
      </c>
      <c r="C565" s="19">
        <v>6.54</v>
      </c>
      <c r="D565" s="19">
        <v>72.23</v>
      </c>
      <c r="E565" s="19">
        <v>1.88</v>
      </c>
      <c r="F565" s="19">
        <v>0.95</v>
      </c>
      <c r="G565" s="19">
        <v>17.43</v>
      </c>
      <c r="H565" s="20">
        <v>14.18</v>
      </c>
      <c r="I565" s="20">
        <v>37.880000000000003</v>
      </c>
      <c r="J565" s="20">
        <v>931.82</v>
      </c>
      <c r="K565" s="21">
        <v>920174.17999999993</v>
      </c>
      <c r="L565" s="2"/>
    </row>
    <row r="566" spans="1:12" x14ac:dyDescent="0.25">
      <c r="A566" s="58">
        <v>46045</v>
      </c>
      <c r="B566" s="18">
        <v>0.58333333333333337</v>
      </c>
      <c r="C566" s="19">
        <v>4.7300000000000004</v>
      </c>
      <c r="D566" s="19">
        <v>71.89</v>
      </c>
      <c r="E566" s="19">
        <v>2.37</v>
      </c>
      <c r="F566" s="19">
        <v>0.97</v>
      </c>
      <c r="G566" s="19">
        <v>17.440000000000001</v>
      </c>
      <c r="H566" s="20">
        <v>14.18</v>
      </c>
      <c r="I566" s="20">
        <v>37.92</v>
      </c>
      <c r="J566" s="20">
        <v>931.79</v>
      </c>
      <c r="K566" s="21">
        <v>920574.40999999992</v>
      </c>
      <c r="L566" s="2"/>
    </row>
    <row r="567" spans="1:12" x14ac:dyDescent="0.25">
      <c r="A567" s="58">
        <v>46045</v>
      </c>
      <c r="B567" s="18">
        <v>0.625</v>
      </c>
      <c r="C567" s="19">
        <v>5.43</v>
      </c>
      <c r="D567" s="19">
        <v>72</v>
      </c>
      <c r="E567" s="19">
        <v>2.44</v>
      </c>
      <c r="F567" s="19">
        <v>1.56</v>
      </c>
      <c r="G567" s="19">
        <v>17.440000000000001</v>
      </c>
      <c r="H567" s="20">
        <v>14.18</v>
      </c>
      <c r="I567" s="20">
        <v>37.950000000000003</v>
      </c>
      <c r="J567" s="20">
        <v>932.12</v>
      </c>
      <c r="K567" s="21">
        <v>924247.24</v>
      </c>
      <c r="L567" s="2"/>
    </row>
    <row r="568" spans="1:12" x14ac:dyDescent="0.25">
      <c r="A568" s="58">
        <v>46045</v>
      </c>
      <c r="B568" s="18">
        <v>0.66666666666666663</v>
      </c>
      <c r="C568" s="19">
        <v>6.45</v>
      </c>
      <c r="D568" s="19">
        <v>72.760000000000005</v>
      </c>
      <c r="E568" s="19">
        <v>2.0099999999999998</v>
      </c>
      <c r="F568" s="19">
        <v>1.26</v>
      </c>
      <c r="G568" s="19">
        <v>17.47</v>
      </c>
      <c r="H568" s="20">
        <v>14.17</v>
      </c>
      <c r="I568" s="20">
        <v>37.880000000000003</v>
      </c>
      <c r="J568" s="20">
        <v>932.46</v>
      </c>
      <c r="K568" s="21">
        <v>927973.57000000007</v>
      </c>
      <c r="L568" s="2"/>
    </row>
    <row r="569" spans="1:12" x14ac:dyDescent="0.25">
      <c r="A569" s="58">
        <v>46045</v>
      </c>
      <c r="B569" s="18">
        <v>0.70833333333333337</v>
      </c>
      <c r="C569" s="19">
        <v>5.59</v>
      </c>
      <c r="D569" s="19">
        <v>72.010000000000005</v>
      </c>
      <c r="E569" s="19">
        <v>2.36</v>
      </c>
      <c r="F569" s="19">
        <v>1.34</v>
      </c>
      <c r="G569" s="19">
        <v>17.440000000000001</v>
      </c>
      <c r="H569" s="20">
        <v>14.16</v>
      </c>
      <c r="I569" s="20">
        <v>37.82</v>
      </c>
      <c r="J569" s="20">
        <v>932.97</v>
      </c>
      <c r="K569" s="21">
        <v>915830.04</v>
      </c>
      <c r="L569" s="2"/>
    </row>
    <row r="570" spans="1:12" x14ac:dyDescent="0.25">
      <c r="A570" s="58">
        <v>46045</v>
      </c>
      <c r="B570" s="18">
        <v>0.75</v>
      </c>
      <c r="C570" s="19">
        <v>5.03</v>
      </c>
      <c r="D570" s="19">
        <v>72.3</v>
      </c>
      <c r="E570" s="19">
        <v>2.52</v>
      </c>
      <c r="F570" s="19">
        <v>1.0900000000000001</v>
      </c>
      <c r="G570" s="19">
        <v>17.440000000000001</v>
      </c>
      <c r="H570" s="20">
        <v>14.15</v>
      </c>
      <c r="I570" s="20">
        <v>37.799999999999997</v>
      </c>
      <c r="J570" s="20">
        <v>933.49</v>
      </c>
      <c r="K570" s="21">
        <v>934830.31</v>
      </c>
      <c r="L570" s="2"/>
    </row>
    <row r="571" spans="1:12" x14ac:dyDescent="0.25">
      <c r="A571" s="58">
        <v>46045</v>
      </c>
      <c r="B571" s="18">
        <v>0.79166666666666663</v>
      </c>
      <c r="C571" s="19">
        <v>5.49</v>
      </c>
      <c r="D571" s="19">
        <v>72.22</v>
      </c>
      <c r="E571" s="19">
        <v>2.4300000000000002</v>
      </c>
      <c r="F571" s="19">
        <v>1.0900000000000001</v>
      </c>
      <c r="G571" s="19">
        <v>17.45</v>
      </c>
      <c r="H571" s="20">
        <v>14.14</v>
      </c>
      <c r="I571" s="20">
        <v>37.82</v>
      </c>
      <c r="J571" s="20">
        <v>934.05</v>
      </c>
      <c r="K571" s="21">
        <v>945957.31</v>
      </c>
      <c r="L571" s="2"/>
    </row>
    <row r="572" spans="1:12" x14ac:dyDescent="0.25">
      <c r="A572" s="58">
        <v>46045</v>
      </c>
      <c r="B572" s="18">
        <v>0.83333333333333337</v>
      </c>
      <c r="C572" s="19">
        <v>3.06</v>
      </c>
      <c r="D572" s="19">
        <v>72.23</v>
      </c>
      <c r="E572" s="19">
        <v>2.2200000000000002</v>
      </c>
      <c r="F572" s="19">
        <v>0.75</v>
      </c>
      <c r="G572" s="19">
        <v>17.47</v>
      </c>
      <c r="H572" s="20">
        <v>14.13</v>
      </c>
      <c r="I572" s="20">
        <v>37.619999999999997</v>
      </c>
      <c r="J572" s="20">
        <v>934.27</v>
      </c>
      <c r="K572" s="21">
        <v>937054.62999999989</v>
      </c>
      <c r="L572" s="2"/>
    </row>
    <row r="573" spans="1:12" x14ac:dyDescent="0.25">
      <c r="A573" s="58">
        <v>46045</v>
      </c>
      <c r="B573" s="18">
        <v>0.875</v>
      </c>
      <c r="C573" s="19">
        <v>3.24</v>
      </c>
      <c r="D573" s="19">
        <v>72.540000000000006</v>
      </c>
      <c r="E573" s="19">
        <v>2.36</v>
      </c>
      <c r="F573" s="19">
        <v>0.56000000000000005</v>
      </c>
      <c r="G573" s="19">
        <v>17.47</v>
      </c>
      <c r="H573" s="20">
        <v>14.11</v>
      </c>
      <c r="I573" s="20">
        <v>37.28</v>
      </c>
      <c r="J573" s="20">
        <v>934.6</v>
      </c>
      <c r="K573" s="21">
        <v>926351.26</v>
      </c>
      <c r="L573" s="2"/>
    </row>
    <row r="574" spans="1:12" x14ac:dyDescent="0.25">
      <c r="A574" s="58">
        <v>46045</v>
      </c>
      <c r="B574" s="18">
        <v>0.91666666666666663</v>
      </c>
      <c r="C574" s="19">
        <v>4.4800000000000004</v>
      </c>
      <c r="D574" s="19">
        <v>73.2</v>
      </c>
      <c r="E574" s="19">
        <v>2.57</v>
      </c>
      <c r="F574" s="19">
        <v>1.02</v>
      </c>
      <c r="G574" s="19">
        <v>17.48</v>
      </c>
      <c r="H574" s="20">
        <v>14.1</v>
      </c>
      <c r="I574" s="20">
        <v>37.1</v>
      </c>
      <c r="J574" s="20">
        <v>934.92</v>
      </c>
      <c r="K574" s="21">
        <v>924352.1100000001</v>
      </c>
      <c r="L574" s="2"/>
    </row>
    <row r="575" spans="1:12" ht="15.75" thickBot="1" x14ac:dyDescent="0.3">
      <c r="A575" s="60">
        <v>46045</v>
      </c>
      <c r="B575" s="35">
        <v>0.95833333333333337</v>
      </c>
      <c r="C575" s="23">
        <v>5.87</v>
      </c>
      <c r="D575" s="23">
        <v>72.75</v>
      </c>
      <c r="E575" s="23">
        <v>2.4500000000000002</v>
      </c>
      <c r="F575" s="23">
        <v>0.71</v>
      </c>
      <c r="G575" s="23">
        <v>17.5</v>
      </c>
      <c r="H575" s="24">
        <v>14.09</v>
      </c>
      <c r="I575" s="24">
        <v>37.01</v>
      </c>
      <c r="J575" s="24">
        <v>935.31</v>
      </c>
      <c r="K575" s="25">
        <v>926519.81</v>
      </c>
      <c r="L575" s="2"/>
    </row>
    <row r="576" spans="1:12" ht="15.75" thickBot="1" x14ac:dyDescent="0.3">
      <c r="A576" s="26" t="s">
        <v>34</v>
      </c>
      <c r="B576" s="44"/>
      <c r="C576" s="45">
        <f t="shared" ref="C576:K576" si="22">IFERROR(ROUND(AVERAGE(C552:C575), 2), "")</f>
        <v>5.28</v>
      </c>
      <c r="D576" s="45">
        <f t="shared" si="22"/>
        <v>72.73</v>
      </c>
      <c r="E576" s="45">
        <f t="shared" si="22"/>
        <v>2.27</v>
      </c>
      <c r="F576" s="45">
        <f t="shared" si="22"/>
        <v>1.44</v>
      </c>
      <c r="G576" s="45">
        <f t="shared" si="22"/>
        <v>17.45</v>
      </c>
      <c r="H576" s="45">
        <f t="shared" si="22"/>
        <v>14.15</v>
      </c>
      <c r="I576" s="45">
        <f t="shared" si="22"/>
        <v>37.28</v>
      </c>
      <c r="J576" s="45">
        <f t="shared" si="22"/>
        <v>931.77</v>
      </c>
      <c r="K576" s="46">
        <f t="shared" si="22"/>
        <v>909882.89</v>
      </c>
      <c r="L576" s="7"/>
    </row>
    <row r="577" spans="1:12" x14ac:dyDescent="0.25">
      <c r="A577" s="57">
        <v>46046</v>
      </c>
      <c r="B577" s="14">
        <v>0</v>
      </c>
      <c r="C577" s="15">
        <v>6.17</v>
      </c>
      <c r="D577" s="15">
        <v>72.58</v>
      </c>
      <c r="E577" s="15">
        <v>2.6</v>
      </c>
      <c r="F577" s="15">
        <v>0.95</v>
      </c>
      <c r="G577" s="15">
        <v>17.5</v>
      </c>
      <c r="H577" s="16">
        <v>14.08</v>
      </c>
      <c r="I577" s="16">
        <v>37.01</v>
      </c>
      <c r="J577" s="16">
        <v>935.58</v>
      </c>
      <c r="K577" s="17">
        <v>933402</v>
      </c>
      <c r="L577" s="2"/>
    </row>
    <row r="578" spans="1:12" x14ac:dyDescent="0.25">
      <c r="A578" s="58">
        <v>46046</v>
      </c>
      <c r="B578" s="18">
        <v>4.1666666666666664E-2</v>
      </c>
      <c r="C578" s="19">
        <v>6.21</v>
      </c>
      <c r="D578" s="19">
        <v>73.010000000000005</v>
      </c>
      <c r="E578" s="19">
        <v>2.41</v>
      </c>
      <c r="F578" s="19">
        <v>0.89</v>
      </c>
      <c r="G578" s="19">
        <v>17.48</v>
      </c>
      <c r="H578" s="20">
        <v>14.07</v>
      </c>
      <c r="I578" s="20">
        <v>36.909999999999997</v>
      </c>
      <c r="J578" s="20">
        <v>936.01</v>
      </c>
      <c r="K578" s="21">
        <v>917403.3899999999</v>
      </c>
      <c r="L578" s="2"/>
    </row>
    <row r="579" spans="1:12" x14ac:dyDescent="0.25">
      <c r="A579" s="58">
        <v>46046</v>
      </c>
      <c r="B579" s="18">
        <v>8.3333333333333329E-2</v>
      </c>
      <c r="C579" s="19">
        <v>4.91</v>
      </c>
      <c r="D579" s="19">
        <v>71.97</v>
      </c>
      <c r="E579" s="19">
        <v>2.58</v>
      </c>
      <c r="F579" s="19">
        <v>0.83</v>
      </c>
      <c r="G579" s="19">
        <v>17.48</v>
      </c>
      <c r="H579" s="20">
        <v>14.07</v>
      </c>
      <c r="I579" s="20">
        <v>36.92</v>
      </c>
      <c r="J579" s="20">
        <v>936.24</v>
      </c>
      <c r="K579" s="21">
        <v>916974.3</v>
      </c>
      <c r="L579" s="2"/>
    </row>
    <row r="580" spans="1:12" x14ac:dyDescent="0.25">
      <c r="A580" s="58">
        <v>46046</v>
      </c>
      <c r="B580" s="18">
        <v>0.125</v>
      </c>
      <c r="C580" s="19">
        <v>3.11</v>
      </c>
      <c r="D580" s="19">
        <v>72.64</v>
      </c>
      <c r="E580" s="19">
        <v>2.27</v>
      </c>
      <c r="F580" s="19">
        <v>1.76</v>
      </c>
      <c r="G580" s="19">
        <v>17.489999999999998</v>
      </c>
      <c r="H580" s="20">
        <v>14.07</v>
      </c>
      <c r="I580" s="20">
        <v>36.92</v>
      </c>
      <c r="J580" s="20">
        <v>936.11</v>
      </c>
      <c r="K580" s="21">
        <v>917353.96</v>
      </c>
      <c r="L580" s="2"/>
    </row>
    <row r="581" spans="1:12" x14ac:dyDescent="0.25">
      <c r="A581" s="58">
        <v>46046</v>
      </c>
      <c r="B581" s="18">
        <v>0.16666666666666666</v>
      </c>
      <c r="C581" s="19">
        <v>5.0199999999999996</v>
      </c>
      <c r="D581" s="19">
        <v>72.209999999999994</v>
      </c>
      <c r="E581" s="19">
        <v>2.06</v>
      </c>
      <c r="F581" s="19">
        <v>2.02</v>
      </c>
      <c r="G581" s="19">
        <v>17.47</v>
      </c>
      <c r="H581" s="20">
        <v>14.07</v>
      </c>
      <c r="I581" s="20">
        <v>36.979999999999997</v>
      </c>
      <c r="J581" s="20">
        <v>936.34</v>
      </c>
      <c r="K581" s="21">
        <v>911052.94</v>
      </c>
      <c r="L581" s="2"/>
    </row>
    <row r="582" spans="1:12" x14ac:dyDescent="0.25">
      <c r="A582" s="58">
        <v>46046</v>
      </c>
      <c r="B582" s="18">
        <v>0.20833333333333334</v>
      </c>
      <c r="C582" s="19">
        <v>4.96</v>
      </c>
      <c r="D582" s="19">
        <v>72.34</v>
      </c>
      <c r="E582" s="19">
        <v>2.52</v>
      </c>
      <c r="F582" s="19">
        <v>1.63</v>
      </c>
      <c r="G582" s="19">
        <v>17.47</v>
      </c>
      <c r="H582" s="20">
        <v>14.07</v>
      </c>
      <c r="I582" s="20">
        <v>37.04</v>
      </c>
      <c r="J582" s="20">
        <v>936.44</v>
      </c>
      <c r="K582" s="21">
        <v>918509.62000000011</v>
      </c>
      <c r="L582" s="2"/>
    </row>
    <row r="583" spans="1:12" x14ac:dyDescent="0.25">
      <c r="A583" s="58">
        <v>46046</v>
      </c>
      <c r="B583" s="18">
        <v>0.25</v>
      </c>
      <c r="C583" s="19">
        <v>4.93</v>
      </c>
      <c r="D583" s="19">
        <v>72.73</v>
      </c>
      <c r="E583" s="19">
        <v>2.46</v>
      </c>
      <c r="F583" s="19">
        <v>0.87</v>
      </c>
      <c r="G583" s="19">
        <v>17.5</v>
      </c>
      <c r="H583" s="20">
        <v>14.07</v>
      </c>
      <c r="I583" s="20">
        <v>36.94</v>
      </c>
      <c r="J583" s="20">
        <v>936.38</v>
      </c>
      <c r="K583" s="21">
        <v>930899.76</v>
      </c>
      <c r="L583" s="2"/>
    </row>
    <row r="584" spans="1:12" x14ac:dyDescent="0.25">
      <c r="A584" s="58">
        <v>46046</v>
      </c>
      <c r="B584" s="18">
        <v>0.29166666666666669</v>
      </c>
      <c r="C584" s="19">
        <v>2.58</v>
      </c>
      <c r="D584" s="19">
        <v>73.2</v>
      </c>
      <c r="E584" s="19">
        <v>2.46</v>
      </c>
      <c r="F584" s="19">
        <v>0.81</v>
      </c>
      <c r="G584" s="19">
        <v>17.48</v>
      </c>
      <c r="H584" s="20">
        <v>14.05</v>
      </c>
      <c r="I584" s="20">
        <v>36.869999999999997</v>
      </c>
      <c r="J584" s="20">
        <v>937.22</v>
      </c>
      <c r="K584" s="21">
        <v>907634.28</v>
      </c>
      <c r="L584" s="2"/>
    </row>
    <row r="585" spans="1:12" x14ac:dyDescent="0.25">
      <c r="A585" s="58">
        <v>46046</v>
      </c>
      <c r="B585" s="18">
        <v>0.33333333333333331</v>
      </c>
      <c r="C585" s="19">
        <v>5.65</v>
      </c>
      <c r="D585" s="19">
        <v>73.319999999999993</v>
      </c>
      <c r="E585" s="19">
        <v>2.2799999999999998</v>
      </c>
      <c r="F585" s="19">
        <v>0.56000000000000005</v>
      </c>
      <c r="G585" s="19">
        <v>17.48</v>
      </c>
      <c r="H585" s="20">
        <v>14.04</v>
      </c>
      <c r="I585" s="20">
        <v>36.75</v>
      </c>
      <c r="J585" s="20">
        <v>937.59</v>
      </c>
      <c r="K585" s="21">
        <v>917871.02</v>
      </c>
      <c r="L585" s="2"/>
    </row>
    <row r="586" spans="1:12" x14ac:dyDescent="0.25">
      <c r="A586" s="58">
        <v>46046</v>
      </c>
      <c r="B586" s="18">
        <v>0.375</v>
      </c>
      <c r="C586" s="19">
        <v>6.56</v>
      </c>
      <c r="D586" s="19">
        <v>73.760000000000005</v>
      </c>
      <c r="E586" s="19">
        <v>1.94</v>
      </c>
      <c r="F586" s="19">
        <v>0.22</v>
      </c>
      <c r="G586" s="19">
        <v>17.48</v>
      </c>
      <c r="H586" s="20">
        <v>14.04</v>
      </c>
      <c r="I586" s="20">
        <v>36.76</v>
      </c>
      <c r="J586" s="20">
        <v>937.84</v>
      </c>
      <c r="K586" s="21">
        <v>922699.54</v>
      </c>
      <c r="L586" s="2"/>
    </row>
    <row r="587" spans="1:12" x14ac:dyDescent="0.25">
      <c r="A587" s="58">
        <v>46046</v>
      </c>
      <c r="B587" s="18">
        <v>0.41666666666666669</v>
      </c>
      <c r="C587" s="19">
        <v>5.52</v>
      </c>
      <c r="D587" s="19">
        <v>73.760000000000005</v>
      </c>
      <c r="E587" s="19">
        <v>1.89</v>
      </c>
      <c r="F587" s="19">
        <v>1.08</v>
      </c>
      <c r="G587" s="19">
        <v>17.48</v>
      </c>
      <c r="H587" s="20">
        <v>14.03</v>
      </c>
      <c r="I587" s="20">
        <v>36.799999999999997</v>
      </c>
      <c r="J587" s="20">
        <v>938.42</v>
      </c>
      <c r="K587" s="21">
        <v>920110.55</v>
      </c>
      <c r="L587" s="2"/>
    </row>
    <row r="588" spans="1:12" x14ac:dyDescent="0.25">
      <c r="A588" s="58">
        <v>46046</v>
      </c>
      <c r="B588" s="18">
        <v>0.45833333333333331</v>
      </c>
      <c r="C588" s="19">
        <v>6.89</v>
      </c>
      <c r="D588" s="19">
        <v>73.97</v>
      </c>
      <c r="E588" s="19">
        <v>1.95</v>
      </c>
      <c r="F588" s="19">
        <v>0.56999999999999995</v>
      </c>
      <c r="G588" s="19">
        <v>17.48</v>
      </c>
      <c r="H588" s="20">
        <v>14.03</v>
      </c>
      <c r="I588" s="20">
        <v>36.89</v>
      </c>
      <c r="J588" s="20">
        <v>938.46</v>
      </c>
      <c r="K588" s="21">
        <v>919367.07000000007</v>
      </c>
      <c r="L588" s="2"/>
    </row>
    <row r="589" spans="1:12" x14ac:dyDescent="0.25">
      <c r="A589" s="58">
        <v>46046</v>
      </c>
      <c r="B589" s="18">
        <v>0.5</v>
      </c>
      <c r="C589" s="19">
        <v>5.7</v>
      </c>
      <c r="D589" s="19">
        <v>73.7</v>
      </c>
      <c r="E589" s="19">
        <v>2.06</v>
      </c>
      <c r="F589" s="19">
        <v>0.31</v>
      </c>
      <c r="G589" s="19">
        <v>17.47</v>
      </c>
      <c r="H589" s="20">
        <v>14.03</v>
      </c>
      <c r="I589" s="20">
        <v>36.89</v>
      </c>
      <c r="J589" s="20">
        <v>938.3</v>
      </c>
      <c r="K589" s="21">
        <v>917912.03</v>
      </c>
      <c r="L589" s="2"/>
    </row>
    <row r="590" spans="1:12" x14ac:dyDescent="0.25">
      <c r="A590" s="58">
        <v>46046</v>
      </c>
      <c r="B590" s="18">
        <v>0.54166666666666663</v>
      </c>
      <c r="C590" s="19">
        <v>6.52</v>
      </c>
      <c r="D590" s="19">
        <v>70.91</v>
      </c>
      <c r="E590" s="19">
        <v>2.16</v>
      </c>
      <c r="F590" s="19">
        <v>18.78</v>
      </c>
      <c r="G590" s="19">
        <v>17.39</v>
      </c>
      <c r="H590" s="20">
        <v>14.06</v>
      </c>
      <c r="I590" s="20">
        <v>37.31</v>
      </c>
      <c r="J590" s="20">
        <v>938.03</v>
      </c>
      <c r="K590" s="21">
        <v>936696.99</v>
      </c>
      <c r="L590" s="2"/>
    </row>
    <row r="591" spans="1:12" x14ac:dyDescent="0.25">
      <c r="A591" s="58">
        <v>46046</v>
      </c>
      <c r="B591" s="18">
        <v>0.58333333333333337</v>
      </c>
      <c r="C591" s="19">
        <v>4.47</v>
      </c>
      <c r="D591" s="19">
        <v>73.900000000000006</v>
      </c>
      <c r="E591" s="19">
        <v>2.21</v>
      </c>
      <c r="F591" s="19">
        <v>3.38</v>
      </c>
      <c r="G591" s="19">
        <v>17.39</v>
      </c>
      <c r="H591" s="20">
        <v>14.09</v>
      </c>
      <c r="I591" s="20">
        <v>38.06</v>
      </c>
      <c r="J591" s="20">
        <v>937.92</v>
      </c>
      <c r="K591" s="21">
        <v>959227.8899999999</v>
      </c>
      <c r="L591" s="2"/>
    </row>
    <row r="592" spans="1:12" x14ac:dyDescent="0.25">
      <c r="A592" s="58">
        <v>46046</v>
      </c>
      <c r="B592" s="18">
        <v>0.625</v>
      </c>
      <c r="C592" s="19">
        <v>6.34</v>
      </c>
      <c r="D592" s="19">
        <v>74.8</v>
      </c>
      <c r="E592" s="19">
        <v>2.77</v>
      </c>
      <c r="F592" s="19">
        <v>2.92</v>
      </c>
      <c r="G592" s="19">
        <v>17.399999999999999</v>
      </c>
      <c r="H592" s="20">
        <v>14.1</v>
      </c>
      <c r="I592" s="20">
        <v>38.159999999999997</v>
      </c>
      <c r="J592" s="20">
        <v>938.21</v>
      </c>
      <c r="K592" s="21">
        <v>964435.03</v>
      </c>
      <c r="L592" s="2"/>
    </row>
    <row r="593" spans="1:12" x14ac:dyDescent="0.25">
      <c r="A593" s="58">
        <v>46046</v>
      </c>
      <c r="B593" s="18">
        <v>0.66666666666666663</v>
      </c>
      <c r="C593" s="19">
        <v>5.01</v>
      </c>
      <c r="D593" s="19">
        <v>74.760000000000005</v>
      </c>
      <c r="E593" s="19">
        <v>2.78</v>
      </c>
      <c r="F593" s="19">
        <v>2.88</v>
      </c>
      <c r="G593" s="19">
        <v>17.39</v>
      </c>
      <c r="H593" s="20">
        <v>14.09</v>
      </c>
      <c r="I593" s="20">
        <v>38.08</v>
      </c>
      <c r="J593" s="20">
        <v>938.22</v>
      </c>
      <c r="K593" s="21">
        <v>966807.81</v>
      </c>
      <c r="L593" s="2"/>
    </row>
    <row r="594" spans="1:12" x14ac:dyDescent="0.25">
      <c r="A594" s="58">
        <v>46046</v>
      </c>
      <c r="B594" s="18">
        <v>0.70833333333333337</v>
      </c>
      <c r="C594" s="19">
        <v>2.72</v>
      </c>
      <c r="D594" s="19">
        <v>74.58</v>
      </c>
      <c r="E594" s="19">
        <v>2.5099999999999998</v>
      </c>
      <c r="F594" s="19">
        <v>2.19</v>
      </c>
      <c r="G594" s="19">
        <v>17.39</v>
      </c>
      <c r="H594" s="20">
        <v>14.08</v>
      </c>
      <c r="I594" s="20">
        <v>38.020000000000003</v>
      </c>
      <c r="J594" s="20">
        <v>938.65</v>
      </c>
      <c r="K594" s="21">
        <v>962162.24</v>
      </c>
      <c r="L594" s="2"/>
    </row>
    <row r="595" spans="1:12" x14ac:dyDescent="0.25">
      <c r="A595" s="58">
        <v>46046</v>
      </c>
      <c r="B595" s="18">
        <v>0.75</v>
      </c>
      <c r="C595" s="19">
        <v>5.24</v>
      </c>
      <c r="D595" s="19">
        <v>70.790000000000006</v>
      </c>
      <c r="E595" s="19">
        <v>1.82</v>
      </c>
      <c r="F595" s="19">
        <v>8.11</v>
      </c>
      <c r="G595" s="19">
        <v>17.34</v>
      </c>
      <c r="H595" s="20">
        <v>14.09</v>
      </c>
      <c r="I595" s="20">
        <v>38.26</v>
      </c>
      <c r="J595" s="20">
        <v>938.71</v>
      </c>
      <c r="K595" s="21">
        <v>954255.52</v>
      </c>
      <c r="L595" s="2"/>
    </row>
    <row r="596" spans="1:12" x14ac:dyDescent="0.25">
      <c r="A596" s="58">
        <v>46046</v>
      </c>
      <c r="B596" s="18">
        <v>0.79166666666666663</v>
      </c>
      <c r="C596" s="19">
        <v>4.78</v>
      </c>
      <c r="D596" s="19">
        <v>71.08</v>
      </c>
      <c r="E596" s="19">
        <v>2.56</v>
      </c>
      <c r="F596" s="19">
        <v>10.210000000000001</v>
      </c>
      <c r="G596" s="19">
        <v>17.350000000000001</v>
      </c>
      <c r="H596" s="20">
        <v>14.1</v>
      </c>
      <c r="I596" s="20">
        <v>38.6</v>
      </c>
      <c r="J596" s="20">
        <v>938.9</v>
      </c>
      <c r="K596" s="21">
        <v>958813.23</v>
      </c>
      <c r="L596" s="2"/>
    </row>
    <row r="597" spans="1:12" x14ac:dyDescent="0.25">
      <c r="A597" s="58">
        <v>46046</v>
      </c>
      <c r="B597" s="18">
        <v>0.83333333333333337</v>
      </c>
      <c r="C597" s="19">
        <v>5.61</v>
      </c>
      <c r="D597" s="19">
        <v>72.02</v>
      </c>
      <c r="E597" s="19">
        <v>1.89</v>
      </c>
      <c r="F597" s="19">
        <v>10.77</v>
      </c>
      <c r="G597" s="19">
        <v>17.34</v>
      </c>
      <c r="H597" s="20">
        <v>14.12</v>
      </c>
      <c r="I597" s="20">
        <v>39.04</v>
      </c>
      <c r="J597" s="20">
        <v>939.02</v>
      </c>
      <c r="K597" s="21">
        <v>963062.78</v>
      </c>
      <c r="L597" s="2"/>
    </row>
    <row r="598" spans="1:12" x14ac:dyDescent="0.25">
      <c r="A598" s="58">
        <v>46046</v>
      </c>
      <c r="B598" s="18">
        <v>0.875</v>
      </c>
      <c r="C598" s="19">
        <v>6.4</v>
      </c>
      <c r="D598" s="19">
        <v>71.8</v>
      </c>
      <c r="E598" s="19">
        <v>1.94</v>
      </c>
      <c r="F598" s="19">
        <v>10.61</v>
      </c>
      <c r="G598" s="19">
        <v>17.32</v>
      </c>
      <c r="H598" s="20">
        <v>14.13</v>
      </c>
      <c r="I598" s="20">
        <v>39.24</v>
      </c>
      <c r="J598" s="20">
        <v>939.35</v>
      </c>
      <c r="K598" s="21">
        <v>963134.3600000001</v>
      </c>
      <c r="L598" s="2"/>
    </row>
    <row r="599" spans="1:12" x14ac:dyDescent="0.25">
      <c r="A599" s="58">
        <v>46046</v>
      </c>
      <c r="B599" s="18">
        <v>0.91666666666666663</v>
      </c>
      <c r="C599" s="19">
        <v>5.05</v>
      </c>
      <c r="D599" s="19">
        <v>71.64</v>
      </c>
      <c r="E599" s="19">
        <v>2.79</v>
      </c>
      <c r="F599" s="19">
        <v>11.57</v>
      </c>
      <c r="G599" s="19">
        <v>17.329999999999998</v>
      </c>
      <c r="H599" s="20">
        <v>14.13</v>
      </c>
      <c r="I599" s="20">
        <v>39.24</v>
      </c>
      <c r="J599" s="20">
        <v>939.25</v>
      </c>
      <c r="K599" s="21">
        <v>954768.12999999989</v>
      </c>
      <c r="L599" s="2"/>
    </row>
    <row r="600" spans="1:12" ht="15.75" thickBot="1" x14ac:dyDescent="0.3">
      <c r="A600" s="60">
        <v>46046</v>
      </c>
      <c r="B600" s="35">
        <v>0.95833333333333337</v>
      </c>
      <c r="C600" s="23">
        <v>3.37</v>
      </c>
      <c r="D600" s="23">
        <v>71.88</v>
      </c>
      <c r="E600" s="23">
        <v>2.31</v>
      </c>
      <c r="F600" s="23">
        <v>11.47</v>
      </c>
      <c r="G600" s="23">
        <v>17.34</v>
      </c>
      <c r="H600" s="24">
        <v>14.12</v>
      </c>
      <c r="I600" s="24">
        <v>39.22</v>
      </c>
      <c r="J600" s="24">
        <v>939.31</v>
      </c>
      <c r="K600" s="25">
        <v>965399.06</v>
      </c>
      <c r="L600" s="2"/>
    </row>
    <row r="601" spans="1:12" ht="15.75" thickBot="1" x14ac:dyDescent="0.3">
      <c r="A601" s="26" t="s">
        <v>35</v>
      </c>
      <c r="B601" s="44"/>
      <c r="C601" s="45">
        <f t="shared" ref="C601:K601" si="23">IFERROR(ROUND(AVERAGE(C577:C600), 2), "")</f>
        <v>5.16</v>
      </c>
      <c r="D601" s="45">
        <f t="shared" si="23"/>
        <v>72.81</v>
      </c>
      <c r="E601" s="45">
        <f t="shared" si="23"/>
        <v>2.2999999999999998</v>
      </c>
      <c r="F601" s="45">
        <f t="shared" si="23"/>
        <v>4.3899999999999997</v>
      </c>
      <c r="G601" s="45">
        <f t="shared" si="23"/>
        <v>17.43</v>
      </c>
      <c r="H601" s="45">
        <f t="shared" si="23"/>
        <v>14.08</v>
      </c>
      <c r="I601" s="45">
        <f t="shared" si="23"/>
        <v>37.619999999999997</v>
      </c>
      <c r="J601" s="45">
        <f t="shared" si="23"/>
        <v>937.77</v>
      </c>
      <c r="K601" s="46">
        <f t="shared" si="23"/>
        <v>937498.06</v>
      </c>
      <c r="L601" s="7"/>
    </row>
    <row r="602" spans="1:12" x14ac:dyDescent="0.25">
      <c r="A602" s="57">
        <v>46047</v>
      </c>
      <c r="B602" s="14">
        <v>0</v>
      </c>
      <c r="C602" s="15">
        <v>3.97</v>
      </c>
      <c r="D602" s="15">
        <v>70.98</v>
      </c>
      <c r="E602" s="15">
        <v>2.75</v>
      </c>
      <c r="F602" s="15">
        <v>25.92</v>
      </c>
      <c r="G602" s="15">
        <v>17.309999999999999</v>
      </c>
      <c r="H602" s="16">
        <v>14.13</v>
      </c>
      <c r="I602" s="16">
        <v>39.200000000000003</v>
      </c>
      <c r="J602" s="16">
        <v>939.23</v>
      </c>
      <c r="K602" s="17">
        <v>964641.98</v>
      </c>
      <c r="L602" s="2"/>
    </row>
    <row r="603" spans="1:12" x14ac:dyDescent="0.25">
      <c r="A603" s="58">
        <v>46047</v>
      </c>
      <c r="B603" s="18">
        <v>4.1666666666666664E-2</v>
      </c>
      <c r="C603" s="19">
        <v>4.87</v>
      </c>
      <c r="D603" s="19">
        <v>70.41</v>
      </c>
      <c r="E603" s="19">
        <v>2.1</v>
      </c>
      <c r="F603" s="19">
        <v>26.88</v>
      </c>
      <c r="G603" s="19">
        <v>17.309999999999999</v>
      </c>
      <c r="H603" s="20">
        <v>14.12</v>
      </c>
      <c r="I603" s="20">
        <v>39.07</v>
      </c>
      <c r="J603" s="20">
        <v>939.16</v>
      </c>
      <c r="K603" s="21">
        <v>958593.12999999989</v>
      </c>
      <c r="L603" s="2"/>
    </row>
    <row r="604" spans="1:12" x14ac:dyDescent="0.25">
      <c r="A604" s="58">
        <v>46047</v>
      </c>
      <c r="B604" s="18">
        <v>8.3333333333333329E-2</v>
      </c>
      <c r="C604" s="19">
        <v>4.43</v>
      </c>
      <c r="D604" s="19">
        <v>70.739999999999995</v>
      </c>
      <c r="E604" s="19">
        <v>1.89</v>
      </c>
      <c r="F604" s="19">
        <v>29.94</v>
      </c>
      <c r="G604" s="19">
        <v>17.32</v>
      </c>
      <c r="H604" s="20">
        <v>14.12</v>
      </c>
      <c r="I604" s="20">
        <v>39.06</v>
      </c>
      <c r="J604" s="20">
        <v>939.25</v>
      </c>
      <c r="K604" s="21">
        <v>964048.71</v>
      </c>
      <c r="L604" s="2"/>
    </row>
    <row r="605" spans="1:12" x14ac:dyDescent="0.25">
      <c r="A605" s="58">
        <v>46047</v>
      </c>
      <c r="B605" s="18">
        <v>0.125</v>
      </c>
      <c r="C605" s="19">
        <v>5.15</v>
      </c>
      <c r="D605" s="19">
        <v>70.08</v>
      </c>
      <c r="E605" s="19">
        <v>2.2799999999999998</v>
      </c>
      <c r="F605" s="19">
        <v>31.71</v>
      </c>
      <c r="G605" s="19">
        <v>17.329999999999998</v>
      </c>
      <c r="H605" s="20">
        <v>14.12</v>
      </c>
      <c r="I605" s="20">
        <v>38.979999999999997</v>
      </c>
      <c r="J605" s="20">
        <v>938.92</v>
      </c>
      <c r="K605" s="21">
        <v>960580.37999999989</v>
      </c>
      <c r="L605" s="2"/>
    </row>
    <row r="606" spans="1:12" x14ac:dyDescent="0.25">
      <c r="A606" s="58">
        <v>46047</v>
      </c>
      <c r="B606" s="18">
        <v>0.16666666666666666</v>
      </c>
      <c r="C606" s="19">
        <v>6</v>
      </c>
      <c r="D606" s="19">
        <v>70.22</v>
      </c>
      <c r="E606" s="19">
        <v>2.1</v>
      </c>
      <c r="F606" s="19">
        <v>32.380000000000003</v>
      </c>
      <c r="G606" s="19">
        <v>17.34</v>
      </c>
      <c r="H606" s="20">
        <v>14.13</v>
      </c>
      <c r="I606" s="20">
        <v>39.159999999999997</v>
      </c>
      <c r="J606" s="20">
        <v>938.87</v>
      </c>
      <c r="K606" s="21">
        <v>972185.98</v>
      </c>
      <c r="L606" s="2"/>
    </row>
    <row r="607" spans="1:12" x14ac:dyDescent="0.25">
      <c r="A607" s="58">
        <v>46047</v>
      </c>
      <c r="B607" s="18">
        <v>0.20833333333333334</v>
      </c>
      <c r="C607" s="19">
        <v>6.48</v>
      </c>
      <c r="D607" s="19">
        <v>70.36</v>
      </c>
      <c r="E607" s="19">
        <v>2.52</v>
      </c>
      <c r="F607" s="19">
        <v>27.41</v>
      </c>
      <c r="G607" s="19">
        <v>17.37</v>
      </c>
      <c r="H607" s="20">
        <v>14.13</v>
      </c>
      <c r="I607" s="20">
        <v>39.07</v>
      </c>
      <c r="J607" s="20">
        <v>938.9</v>
      </c>
      <c r="K607" s="21">
        <v>979886.37999999989</v>
      </c>
      <c r="L607" s="2"/>
    </row>
    <row r="608" spans="1:12" x14ac:dyDescent="0.25">
      <c r="A608" s="58">
        <v>46047</v>
      </c>
      <c r="B608" s="18">
        <v>0.25</v>
      </c>
      <c r="C608" s="19">
        <v>5.21</v>
      </c>
      <c r="D608" s="19">
        <v>72.92</v>
      </c>
      <c r="E608" s="19">
        <v>1.75</v>
      </c>
      <c r="F608" s="19">
        <v>5.63</v>
      </c>
      <c r="G608" s="19">
        <v>17.41</v>
      </c>
      <c r="H608" s="20">
        <v>14.11</v>
      </c>
      <c r="I608" s="20">
        <v>38.74</v>
      </c>
      <c r="J608" s="20">
        <v>938.83</v>
      </c>
      <c r="K608" s="21">
        <v>978161.55</v>
      </c>
      <c r="L608" s="2"/>
    </row>
    <row r="609" spans="1:12" x14ac:dyDescent="0.25">
      <c r="A609" s="58">
        <v>46047</v>
      </c>
      <c r="B609" s="18">
        <v>0.29166666666666669</v>
      </c>
      <c r="C609" s="19">
        <v>4.8</v>
      </c>
      <c r="D609" s="19">
        <v>72.55</v>
      </c>
      <c r="E609" s="19">
        <v>2.48</v>
      </c>
      <c r="F609" s="19">
        <v>1.74</v>
      </c>
      <c r="G609" s="19">
        <v>17.420000000000002</v>
      </c>
      <c r="H609" s="20">
        <v>14.09</v>
      </c>
      <c r="I609" s="20">
        <v>38.21</v>
      </c>
      <c r="J609" s="20">
        <v>939</v>
      </c>
      <c r="K609" s="21">
        <v>971883.15999999992</v>
      </c>
      <c r="L609" s="2"/>
    </row>
    <row r="610" spans="1:12" x14ac:dyDescent="0.25">
      <c r="A610" s="58">
        <v>46047</v>
      </c>
      <c r="B610" s="18">
        <v>0.33333333333333331</v>
      </c>
      <c r="C610" s="19">
        <v>3.92</v>
      </c>
      <c r="D610" s="19">
        <v>74.09</v>
      </c>
      <c r="E610" s="19">
        <v>2.35</v>
      </c>
      <c r="F610" s="19">
        <v>2.31</v>
      </c>
      <c r="G610" s="19">
        <v>17.43</v>
      </c>
      <c r="H610" s="20">
        <v>14.09</v>
      </c>
      <c r="I610" s="20">
        <v>38.299999999999997</v>
      </c>
      <c r="J610" s="20">
        <v>939.25</v>
      </c>
      <c r="K610" s="21">
        <v>977650.62000000011</v>
      </c>
      <c r="L610" s="2"/>
    </row>
    <row r="611" spans="1:12" x14ac:dyDescent="0.25">
      <c r="A611" s="58">
        <v>46047</v>
      </c>
      <c r="B611" s="18">
        <v>0.375</v>
      </c>
      <c r="C611" s="19">
        <v>4.24</v>
      </c>
      <c r="D611" s="19">
        <v>74.010000000000005</v>
      </c>
      <c r="E611" s="19">
        <v>2.69</v>
      </c>
      <c r="F611" s="19">
        <v>1.26</v>
      </c>
      <c r="G611" s="19">
        <v>17.43</v>
      </c>
      <c r="H611" s="20">
        <v>14.08</v>
      </c>
      <c r="I611" s="20">
        <v>38.200000000000003</v>
      </c>
      <c r="J611" s="20">
        <v>939.19</v>
      </c>
      <c r="K611" s="21">
        <v>978241.19</v>
      </c>
      <c r="L611" s="2"/>
    </row>
    <row r="612" spans="1:12" x14ac:dyDescent="0.25">
      <c r="A612" s="58">
        <v>46047</v>
      </c>
      <c r="B612" s="18">
        <v>0.41666666666666669</v>
      </c>
      <c r="C612" s="19">
        <v>5.13</v>
      </c>
      <c r="D612" s="19">
        <v>74.17</v>
      </c>
      <c r="E612" s="19">
        <v>2.04</v>
      </c>
      <c r="F612" s="19">
        <v>1.17</v>
      </c>
      <c r="G612" s="19">
        <v>17.440000000000001</v>
      </c>
      <c r="H612" s="20">
        <v>14.08</v>
      </c>
      <c r="I612" s="20">
        <v>38.07</v>
      </c>
      <c r="J612" s="20">
        <v>939.24</v>
      </c>
      <c r="K612" s="21">
        <v>981097.8899999999</v>
      </c>
      <c r="L612" s="2"/>
    </row>
    <row r="613" spans="1:12" x14ac:dyDescent="0.25">
      <c r="A613" s="58">
        <v>46047</v>
      </c>
      <c r="B613" s="18">
        <v>0.45833333333333331</v>
      </c>
      <c r="C613" s="19">
        <v>5.35</v>
      </c>
      <c r="D613" s="19">
        <v>74.59</v>
      </c>
      <c r="E613" s="19">
        <v>2.2599999999999998</v>
      </c>
      <c r="F613" s="19">
        <v>1.36</v>
      </c>
      <c r="G613" s="19">
        <v>17.45</v>
      </c>
      <c r="H613" s="20">
        <v>14.08</v>
      </c>
      <c r="I613" s="20">
        <v>38.14</v>
      </c>
      <c r="J613" s="20">
        <v>939.4</v>
      </c>
      <c r="K613" s="21">
        <v>974431.76</v>
      </c>
      <c r="L613" s="2"/>
    </row>
    <row r="614" spans="1:12" x14ac:dyDescent="0.25">
      <c r="A614" s="58">
        <v>46047</v>
      </c>
      <c r="B614" s="18">
        <v>0.5</v>
      </c>
      <c r="C614" s="19">
        <v>3.37</v>
      </c>
      <c r="D614" s="19">
        <v>74.08</v>
      </c>
      <c r="E614" s="19">
        <v>2.42</v>
      </c>
      <c r="F614" s="19">
        <v>2.91</v>
      </c>
      <c r="G614" s="19">
        <v>17.399999999999999</v>
      </c>
      <c r="H614" s="20">
        <v>14.09</v>
      </c>
      <c r="I614" s="20">
        <v>38.25</v>
      </c>
      <c r="J614" s="20">
        <v>938.88</v>
      </c>
      <c r="K614" s="21">
        <v>971262.59000000008</v>
      </c>
      <c r="L614" s="2"/>
    </row>
    <row r="615" spans="1:12" x14ac:dyDescent="0.25">
      <c r="A615" s="58">
        <v>46047</v>
      </c>
      <c r="B615" s="18">
        <v>0.54166666666666663</v>
      </c>
      <c r="C615" s="19">
        <v>5.18</v>
      </c>
      <c r="D615" s="19">
        <v>76.16</v>
      </c>
      <c r="E615" s="19">
        <v>2.29</v>
      </c>
      <c r="F615" s="19">
        <v>3.46</v>
      </c>
      <c r="G615" s="19">
        <v>17.36</v>
      </c>
      <c r="H615" s="20">
        <v>14.11</v>
      </c>
      <c r="I615" s="20">
        <v>38.590000000000003</v>
      </c>
      <c r="J615" s="20">
        <v>938.39</v>
      </c>
      <c r="K615" s="21">
        <v>963887.3</v>
      </c>
      <c r="L615" s="2"/>
    </row>
    <row r="616" spans="1:12" x14ac:dyDescent="0.25">
      <c r="A616" s="58">
        <v>46047</v>
      </c>
      <c r="B616" s="18">
        <v>0.58333333333333337</v>
      </c>
      <c r="C616" s="19">
        <v>4.96</v>
      </c>
      <c r="D616" s="19">
        <v>76.56</v>
      </c>
      <c r="E616" s="19">
        <v>2.1800000000000002</v>
      </c>
      <c r="F616" s="19">
        <v>2.62</v>
      </c>
      <c r="G616" s="19">
        <v>17.350000000000001</v>
      </c>
      <c r="H616" s="20">
        <v>14.13</v>
      </c>
      <c r="I616" s="20">
        <v>38.83</v>
      </c>
      <c r="J616" s="20">
        <v>937.94</v>
      </c>
      <c r="K616" s="21">
        <v>965339.45</v>
      </c>
      <c r="L616" s="2"/>
    </row>
    <row r="617" spans="1:12" x14ac:dyDescent="0.25">
      <c r="A617" s="58">
        <v>46047</v>
      </c>
      <c r="B617" s="18">
        <v>0.625</v>
      </c>
      <c r="C617" s="19">
        <v>6.01</v>
      </c>
      <c r="D617" s="19">
        <v>76.83</v>
      </c>
      <c r="E617" s="19">
        <v>2.09</v>
      </c>
      <c r="F617" s="19">
        <v>2.96</v>
      </c>
      <c r="G617" s="19">
        <v>17.329999999999998</v>
      </c>
      <c r="H617" s="20">
        <v>14.14</v>
      </c>
      <c r="I617" s="20">
        <v>39</v>
      </c>
      <c r="J617" s="20">
        <v>938.07</v>
      </c>
      <c r="K617" s="21">
        <v>976173.09000000008</v>
      </c>
      <c r="L617" s="2"/>
    </row>
    <row r="618" spans="1:12" x14ac:dyDescent="0.25">
      <c r="A618" s="58">
        <v>46047</v>
      </c>
      <c r="B618" s="18">
        <v>0.66666666666666663</v>
      </c>
      <c r="C618" s="19">
        <v>5.73</v>
      </c>
      <c r="D618" s="19">
        <v>77.06</v>
      </c>
      <c r="E618" s="19">
        <v>2.59</v>
      </c>
      <c r="F618" s="19">
        <v>4.1399999999999997</v>
      </c>
      <c r="G618" s="19">
        <v>17.36</v>
      </c>
      <c r="H618" s="20">
        <v>14.14</v>
      </c>
      <c r="I618" s="20">
        <v>38.950000000000003</v>
      </c>
      <c r="J618" s="20">
        <v>937.65</v>
      </c>
      <c r="K618" s="21">
        <v>972534.8600000001</v>
      </c>
      <c r="L618" s="2"/>
    </row>
    <row r="619" spans="1:12" x14ac:dyDescent="0.25">
      <c r="A619" s="58">
        <v>46047</v>
      </c>
      <c r="B619" s="18">
        <v>0.70833333333333337</v>
      </c>
      <c r="C619" s="19">
        <v>4.82</v>
      </c>
      <c r="D619" s="19">
        <v>76.86</v>
      </c>
      <c r="E619" s="19">
        <v>2.2000000000000002</v>
      </c>
      <c r="F619" s="19">
        <v>3.59</v>
      </c>
      <c r="G619" s="19">
        <v>17.36</v>
      </c>
      <c r="H619" s="20">
        <v>14.14</v>
      </c>
      <c r="I619" s="20">
        <v>38.93</v>
      </c>
      <c r="J619" s="20">
        <v>937.73</v>
      </c>
      <c r="K619" s="21">
        <v>979447.37000000011</v>
      </c>
      <c r="L619" s="2"/>
    </row>
    <row r="620" spans="1:12" x14ac:dyDescent="0.25">
      <c r="A620" s="58">
        <v>46047</v>
      </c>
      <c r="B620" s="18">
        <v>0.75</v>
      </c>
      <c r="C620" s="19">
        <v>4.7300000000000004</v>
      </c>
      <c r="D620" s="19">
        <v>76.459999999999994</v>
      </c>
      <c r="E620" s="19">
        <v>2.5099999999999998</v>
      </c>
      <c r="F620" s="19">
        <v>3.8</v>
      </c>
      <c r="G620" s="19">
        <v>17.350000000000001</v>
      </c>
      <c r="H620" s="20">
        <v>14.15</v>
      </c>
      <c r="I620" s="20">
        <v>38.89</v>
      </c>
      <c r="J620" s="20">
        <v>937.1</v>
      </c>
      <c r="K620" s="21">
        <v>980177.58000000007</v>
      </c>
      <c r="L620" s="2"/>
    </row>
    <row r="621" spans="1:12" x14ac:dyDescent="0.25">
      <c r="A621" s="58">
        <v>46047</v>
      </c>
      <c r="B621" s="18">
        <v>0.79166666666666663</v>
      </c>
      <c r="C621" s="19">
        <v>4.82</v>
      </c>
      <c r="D621" s="19">
        <v>75.98</v>
      </c>
      <c r="E621" s="19">
        <v>2.04</v>
      </c>
      <c r="F621" s="19">
        <v>3.78</v>
      </c>
      <c r="G621" s="19">
        <v>17.34</v>
      </c>
      <c r="H621" s="20">
        <v>14.16</v>
      </c>
      <c r="I621" s="20">
        <v>38.979999999999997</v>
      </c>
      <c r="J621" s="20">
        <v>936.52</v>
      </c>
      <c r="K621" s="21">
        <v>971773.03</v>
      </c>
      <c r="L621" s="2"/>
    </row>
    <row r="622" spans="1:12" x14ac:dyDescent="0.25">
      <c r="A622" s="58">
        <v>46047</v>
      </c>
      <c r="B622" s="18">
        <v>0.83333333333333337</v>
      </c>
      <c r="C622" s="19">
        <v>4.8</v>
      </c>
      <c r="D622" s="19">
        <v>76.91</v>
      </c>
      <c r="E622" s="19">
        <v>2.09</v>
      </c>
      <c r="F622" s="19">
        <v>5.82</v>
      </c>
      <c r="G622" s="19">
        <v>17.309999999999999</v>
      </c>
      <c r="H622" s="20">
        <v>14.18</v>
      </c>
      <c r="I622" s="20">
        <v>39.25</v>
      </c>
      <c r="J622" s="20">
        <v>936</v>
      </c>
      <c r="K622" s="21">
        <v>972356.73</v>
      </c>
      <c r="L622" s="2"/>
    </row>
    <row r="623" spans="1:12" x14ac:dyDescent="0.25">
      <c r="A623" s="58">
        <v>46047</v>
      </c>
      <c r="B623" s="18">
        <v>0.875</v>
      </c>
      <c r="C623" s="19">
        <v>5.18</v>
      </c>
      <c r="D623" s="19">
        <v>76.33</v>
      </c>
      <c r="E623" s="19">
        <v>2.37</v>
      </c>
      <c r="F623" s="19">
        <v>5.0599999999999996</v>
      </c>
      <c r="G623" s="19">
        <v>17.309999999999999</v>
      </c>
      <c r="H623" s="20">
        <v>14.19</v>
      </c>
      <c r="I623" s="20">
        <v>39.44</v>
      </c>
      <c r="J623" s="20">
        <v>936.02</v>
      </c>
      <c r="K623" s="21">
        <v>980449.76</v>
      </c>
      <c r="L623" s="2"/>
    </row>
    <row r="624" spans="1:12" x14ac:dyDescent="0.25">
      <c r="A624" s="58">
        <v>46047</v>
      </c>
      <c r="B624" s="18">
        <v>0.91666666666666663</v>
      </c>
      <c r="C624" s="19">
        <v>5.89</v>
      </c>
      <c r="D624" s="19">
        <v>75.459999999999994</v>
      </c>
      <c r="E624" s="19">
        <v>1.95</v>
      </c>
      <c r="F624" s="19">
        <v>7.83</v>
      </c>
      <c r="G624" s="19">
        <v>17.3</v>
      </c>
      <c r="H624" s="20">
        <v>14.19</v>
      </c>
      <c r="I624" s="20">
        <v>39.409999999999997</v>
      </c>
      <c r="J624" s="20">
        <v>935.82</v>
      </c>
      <c r="K624" s="21">
        <v>976178.66999999993</v>
      </c>
      <c r="L624" s="2"/>
    </row>
    <row r="625" spans="1:12" ht="15.75" thickBot="1" x14ac:dyDescent="0.3">
      <c r="A625" s="60">
        <v>46047</v>
      </c>
      <c r="B625" s="35">
        <v>0.95833333333333337</v>
      </c>
      <c r="C625" s="23">
        <v>5.23</v>
      </c>
      <c r="D625" s="23">
        <v>75.16</v>
      </c>
      <c r="E625" s="23">
        <v>2.29</v>
      </c>
      <c r="F625" s="23">
        <v>12.7</v>
      </c>
      <c r="G625" s="23">
        <v>17.28</v>
      </c>
      <c r="H625" s="24">
        <v>14.2</v>
      </c>
      <c r="I625" s="24">
        <v>39.54</v>
      </c>
      <c r="J625" s="24">
        <v>935.47</v>
      </c>
      <c r="K625" s="25">
        <v>981326.29</v>
      </c>
      <c r="L625" s="2"/>
    </row>
    <row r="626" spans="1:12" ht="15.75" thickBot="1" x14ac:dyDescent="0.3">
      <c r="A626" s="26" t="s">
        <v>36</v>
      </c>
      <c r="B626" s="44"/>
      <c r="C626" s="45">
        <f t="shared" ref="C626:K626" si="24">IFERROR(ROUND(AVERAGE(C602:C625), 2), "")</f>
        <v>5.01</v>
      </c>
      <c r="D626" s="45">
        <f t="shared" si="24"/>
        <v>74.12</v>
      </c>
      <c r="E626" s="45">
        <f t="shared" si="24"/>
        <v>2.2599999999999998</v>
      </c>
      <c r="F626" s="45">
        <f t="shared" si="24"/>
        <v>10.27</v>
      </c>
      <c r="G626" s="45">
        <f t="shared" si="24"/>
        <v>17.36</v>
      </c>
      <c r="H626" s="45">
        <f t="shared" si="24"/>
        <v>14.13</v>
      </c>
      <c r="I626" s="45">
        <f t="shared" si="24"/>
        <v>38.840000000000003</v>
      </c>
      <c r="J626" s="45">
        <f t="shared" si="24"/>
        <v>938.12</v>
      </c>
      <c r="K626" s="46">
        <f t="shared" si="24"/>
        <v>973012.89</v>
      </c>
      <c r="L626" s="7"/>
    </row>
    <row r="627" spans="1:12" x14ac:dyDescent="0.25">
      <c r="A627" s="57">
        <v>46048</v>
      </c>
      <c r="B627" s="14">
        <v>0</v>
      </c>
      <c r="C627" s="15">
        <v>5.28</v>
      </c>
      <c r="D627" s="15">
        <v>75</v>
      </c>
      <c r="E627" s="15">
        <v>2.4</v>
      </c>
      <c r="F627" s="15">
        <v>9.56</v>
      </c>
      <c r="G627" s="15">
        <v>17.239999999999998</v>
      </c>
      <c r="H627" s="16">
        <v>14.22</v>
      </c>
      <c r="I627" s="16">
        <v>39.76</v>
      </c>
      <c r="J627" s="16">
        <v>934.74</v>
      </c>
      <c r="K627" s="17">
        <v>974676.22</v>
      </c>
      <c r="L627" s="2"/>
    </row>
    <row r="628" spans="1:12" x14ac:dyDescent="0.25">
      <c r="A628" s="58">
        <v>46048</v>
      </c>
      <c r="B628" s="18">
        <v>4.1666666666666664E-2</v>
      </c>
      <c r="C628" s="19">
        <v>6.37</v>
      </c>
      <c r="D628" s="19">
        <v>75.97</v>
      </c>
      <c r="E628" s="19">
        <v>2.0299999999999998</v>
      </c>
      <c r="F628" s="19">
        <v>12.05</v>
      </c>
      <c r="G628" s="19">
        <v>17.25</v>
      </c>
      <c r="H628" s="20">
        <v>14.24</v>
      </c>
      <c r="I628" s="20">
        <v>40.01</v>
      </c>
      <c r="J628" s="20">
        <v>934.14</v>
      </c>
      <c r="K628" s="21">
        <v>981641.01</v>
      </c>
      <c r="L628" s="2"/>
    </row>
    <row r="629" spans="1:12" x14ac:dyDescent="0.25">
      <c r="A629" s="58">
        <v>46048</v>
      </c>
      <c r="B629" s="18">
        <v>8.3333333333333329E-2</v>
      </c>
      <c r="C629" s="19">
        <v>5.17</v>
      </c>
      <c r="D629" s="19">
        <v>73.900000000000006</v>
      </c>
      <c r="E629" s="19">
        <v>1.88</v>
      </c>
      <c r="F629" s="19">
        <v>12.44</v>
      </c>
      <c r="G629" s="19">
        <v>17.25</v>
      </c>
      <c r="H629" s="20">
        <v>14.26</v>
      </c>
      <c r="I629" s="20">
        <v>40.17</v>
      </c>
      <c r="J629" s="20">
        <v>933.65</v>
      </c>
      <c r="K629" s="21">
        <v>969081.31</v>
      </c>
      <c r="L629" s="2"/>
    </row>
    <row r="630" spans="1:12" x14ac:dyDescent="0.25">
      <c r="A630" s="58">
        <v>46048</v>
      </c>
      <c r="B630" s="18">
        <v>0.125</v>
      </c>
      <c r="C630" s="19">
        <v>6.29</v>
      </c>
      <c r="D630" s="19">
        <v>74.72</v>
      </c>
      <c r="E630" s="19">
        <v>2.02</v>
      </c>
      <c r="F630" s="19">
        <v>13.24</v>
      </c>
      <c r="G630" s="19">
        <v>17.22</v>
      </c>
      <c r="H630" s="20">
        <v>14.27</v>
      </c>
      <c r="I630" s="20">
        <v>40.33</v>
      </c>
      <c r="J630" s="20">
        <v>933.08</v>
      </c>
      <c r="K630" s="21">
        <v>964624.27</v>
      </c>
      <c r="L630" s="2"/>
    </row>
    <row r="631" spans="1:12" x14ac:dyDescent="0.25">
      <c r="A631" s="58">
        <v>46048</v>
      </c>
      <c r="B631" s="18">
        <v>0.16666666666666666</v>
      </c>
      <c r="C631" s="19">
        <v>5.04</v>
      </c>
      <c r="D631" s="19">
        <v>73.8</v>
      </c>
      <c r="E631" s="19">
        <v>2.42</v>
      </c>
      <c r="F631" s="19">
        <v>14.22</v>
      </c>
      <c r="G631" s="19">
        <v>17.23</v>
      </c>
      <c r="H631" s="20">
        <v>14.3</v>
      </c>
      <c r="I631" s="20">
        <v>40.64</v>
      </c>
      <c r="J631" s="20">
        <v>932.69</v>
      </c>
      <c r="K631" s="21">
        <v>963298.71</v>
      </c>
      <c r="L631" s="2"/>
    </row>
    <row r="632" spans="1:12" x14ac:dyDescent="0.25">
      <c r="A632" s="58">
        <v>46048</v>
      </c>
      <c r="B632" s="18">
        <v>0.20833333333333334</v>
      </c>
      <c r="C632" s="19">
        <v>5.67</v>
      </c>
      <c r="D632" s="19">
        <v>73.25</v>
      </c>
      <c r="E632" s="19">
        <v>2.0099999999999998</v>
      </c>
      <c r="F632" s="19">
        <v>21.58</v>
      </c>
      <c r="G632" s="19">
        <v>17.190000000000001</v>
      </c>
      <c r="H632" s="20">
        <v>14.32</v>
      </c>
      <c r="I632" s="20">
        <v>40.89</v>
      </c>
      <c r="J632" s="20">
        <v>932.25</v>
      </c>
      <c r="K632" s="21">
        <v>949576.89999999991</v>
      </c>
      <c r="L632" s="2"/>
    </row>
    <row r="633" spans="1:12" x14ac:dyDescent="0.25">
      <c r="A633" s="58">
        <v>46048</v>
      </c>
      <c r="B633" s="18">
        <v>0.25</v>
      </c>
      <c r="C633" s="19">
        <v>6.04</v>
      </c>
      <c r="D633" s="19">
        <v>72.88</v>
      </c>
      <c r="E633" s="19">
        <v>2.77</v>
      </c>
      <c r="F633" s="19">
        <v>35.71</v>
      </c>
      <c r="G633" s="19">
        <v>17.16</v>
      </c>
      <c r="H633" s="20">
        <v>14.33</v>
      </c>
      <c r="I633" s="20">
        <v>41.15</v>
      </c>
      <c r="J633" s="20">
        <v>931.9</v>
      </c>
      <c r="K633" s="21">
        <v>952094.3</v>
      </c>
      <c r="L633" s="2"/>
    </row>
    <row r="634" spans="1:12" x14ac:dyDescent="0.25">
      <c r="A634" s="58">
        <v>46048</v>
      </c>
      <c r="B634" s="18">
        <v>0.29166666666666669</v>
      </c>
      <c r="C634" s="19">
        <v>5.44</v>
      </c>
      <c r="D634" s="19">
        <v>73.09</v>
      </c>
      <c r="E634" s="19">
        <v>2.5099999999999998</v>
      </c>
      <c r="F634" s="19">
        <v>24.4</v>
      </c>
      <c r="G634" s="19">
        <v>17.149999999999999</v>
      </c>
      <c r="H634" s="20">
        <v>14.35</v>
      </c>
      <c r="I634" s="20">
        <v>41.51</v>
      </c>
      <c r="J634" s="20">
        <v>931.65</v>
      </c>
      <c r="K634" s="21">
        <v>952758.62999999989</v>
      </c>
      <c r="L634" s="2"/>
    </row>
    <row r="635" spans="1:12" x14ac:dyDescent="0.25">
      <c r="A635" s="58">
        <v>46048</v>
      </c>
      <c r="B635" s="18">
        <v>0.33333333333333331</v>
      </c>
      <c r="C635" s="19">
        <v>5.55</v>
      </c>
      <c r="D635" s="19">
        <v>72.650000000000006</v>
      </c>
      <c r="E635" s="19">
        <v>2.1</v>
      </c>
      <c r="F635" s="19">
        <v>20.100000000000001</v>
      </c>
      <c r="G635" s="19">
        <v>17.149999999999999</v>
      </c>
      <c r="H635" s="20">
        <v>14.37</v>
      </c>
      <c r="I635" s="20">
        <v>41.88</v>
      </c>
      <c r="J635" s="20">
        <v>931.52</v>
      </c>
      <c r="K635" s="21">
        <v>937363.94</v>
      </c>
      <c r="L635" s="2"/>
    </row>
    <row r="636" spans="1:12" x14ac:dyDescent="0.25">
      <c r="A636" s="58">
        <v>46048</v>
      </c>
      <c r="B636" s="18">
        <v>0.375</v>
      </c>
      <c r="C636" s="19">
        <v>3.22</v>
      </c>
      <c r="D636" s="19">
        <v>72.37</v>
      </c>
      <c r="E636" s="19">
        <v>2.66</v>
      </c>
      <c r="F636" s="19">
        <v>35.01</v>
      </c>
      <c r="G636" s="19">
        <v>17.12</v>
      </c>
      <c r="H636" s="20">
        <v>14.39</v>
      </c>
      <c r="I636" s="20">
        <v>42.18</v>
      </c>
      <c r="J636" s="20">
        <v>931.51</v>
      </c>
      <c r="K636" s="21">
        <v>930004.01</v>
      </c>
      <c r="L636" s="2"/>
    </row>
    <row r="637" spans="1:12" x14ac:dyDescent="0.25">
      <c r="A637" s="58">
        <v>46048</v>
      </c>
      <c r="B637" s="18">
        <v>0.41666666666666669</v>
      </c>
      <c r="C637" s="19">
        <v>6.57</v>
      </c>
      <c r="D637" s="19">
        <v>78.17</v>
      </c>
      <c r="E637" s="19">
        <v>1.93</v>
      </c>
      <c r="F637" s="19">
        <v>38.58</v>
      </c>
      <c r="G637" s="19">
        <v>17.78</v>
      </c>
      <c r="H637" s="20">
        <v>14.29</v>
      </c>
      <c r="I637" s="20">
        <v>39.979999999999997</v>
      </c>
      <c r="J637" s="20">
        <v>931.23</v>
      </c>
      <c r="K637" s="21">
        <v>858325.71</v>
      </c>
      <c r="L637" s="2"/>
    </row>
    <row r="638" spans="1:12" x14ac:dyDescent="0.25">
      <c r="A638" s="58">
        <v>46048</v>
      </c>
      <c r="B638" s="18">
        <v>0.45833333333333331</v>
      </c>
      <c r="C638" s="19">
        <v>14.41</v>
      </c>
      <c r="D638" s="19">
        <v>85.73</v>
      </c>
      <c r="E638" s="19">
        <v>2.72</v>
      </c>
      <c r="F638" s="19">
        <v>36.340000000000003</v>
      </c>
      <c r="G638" s="19">
        <v>18.16</v>
      </c>
      <c r="H638" s="20">
        <v>14.19</v>
      </c>
      <c r="I638" s="20">
        <v>37.46</v>
      </c>
      <c r="J638" s="20">
        <v>930.44</v>
      </c>
      <c r="K638" s="21">
        <v>857101.32000000007</v>
      </c>
      <c r="L638" s="2"/>
    </row>
    <row r="639" spans="1:12" x14ac:dyDescent="0.25">
      <c r="A639" s="58">
        <v>46048</v>
      </c>
      <c r="B639" s="18">
        <v>0.5</v>
      </c>
      <c r="C639" s="19">
        <v>12.25</v>
      </c>
      <c r="D639" s="19">
        <v>90.36</v>
      </c>
      <c r="E639" s="19">
        <v>2.86</v>
      </c>
      <c r="F639" s="19">
        <v>34.06</v>
      </c>
      <c r="G639" s="19">
        <v>17.93</v>
      </c>
      <c r="H639" s="20">
        <v>14.21</v>
      </c>
      <c r="I639" s="20">
        <v>37.69</v>
      </c>
      <c r="J639" s="20">
        <v>929.34</v>
      </c>
      <c r="K639" s="21">
        <v>871891.6100000001</v>
      </c>
      <c r="L639" s="2"/>
    </row>
    <row r="640" spans="1:12" x14ac:dyDescent="0.25">
      <c r="A640" s="58">
        <v>46048</v>
      </c>
      <c r="B640" s="18">
        <v>0.54166666666666663</v>
      </c>
      <c r="C640" s="19">
        <v>26.83</v>
      </c>
      <c r="D640" s="19">
        <v>92.63</v>
      </c>
      <c r="E640" s="19">
        <v>2.98</v>
      </c>
      <c r="F640" s="19">
        <v>33.17</v>
      </c>
      <c r="G640" s="19">
        <v>17.39</v>
      </c>
      <c r="H640" s="20">
        <v>14.35</v>
      </c>
      <c r="I640" s="20">
        <v>40.299999999999997</v>
      </c>
      <c r="J640" s="20">
        <v>928.27</v>
      </c>
      <c r="K640" s="21">
        <v>944907.3</v>
      </c>
      <c r="L640" s="2"/>
    </row>
    <row r="641" spans="1:12" x14ac:dyDescent="0.25">
      <c r="A641" s="58">
        <v>46048</v>
      </c>
      <c r="B641" s="18">
        <v>0.58333333333333337</v>
      </c>
      <c r="C641" s="19">
        <v>31.78</v>
      </c>
      <c r="D641" s="19">
        <v>96.5</v>
      </c>
      <c r="E641" s="19">
        <v>2.27</v>
      </c>
      <c r="F641" s="19">
        <v>38.549999999999997</v>
      </c>
      <c r="G641" s="19">
        <v>17.22</v>
      </c>
      <c r="H641" s="20">
        <v>14.44</v>
      </c>
      <c r="I641" s="20">
        <v>42.16</v>
      </c>
      <c r="J641" s="20">
        <v>927.97</v>
      </c>
      <c r="K641" s="21">
        <v>954191.62000000011</v>
      </c>
      <c r="L641" s="2"/>
    </row>
    <row r="642" spans="1:12" x14ac:dyDescent="0.25">
      <c r="A642" s="58">
        <v>46048</v>
      </c>
      <c r="B642" s="18">
        <v>0.625</v>
      </c>
      <c r="C642" s="19">
        <v>6.93</v>
      </c>
      <c r="D642" s="19">
        <v>97.17</v>
      </c>
      <c r="E642" s="19">
        <v>2.36</v>
      </c>
      <c r="F642" s="19">
        <v>35.340000000000003</v>
      </c>
      <c r="G642" s="19">
        <v>17.100000000000001</v>
      </c>
      <c r="H642" s="20">
        <v>14.58</v>
      </c>
      <c r="I642" s="20">
        <v>45.23</v>
      </c>
      <c r="J642" s="20">
        <v>927.72</v>
      </c>
      <c r="K642" s="21">
        <v>976590.59000000008</v>
      </c>
      <c r="L642" s="2"/>
    </row>
    <row r="643" spans="1:12" x14ac:dyDescent="0.25">
      <c r="A643" s="58">
        <v>46048</v>
      </c>
      <c r="B643" s="18">
        <v>0.66666666666666663</v>
      </c>
      <c r="C643" s="19">
        <v>26.65</v>
      </c>
      <c r="D643" s="19">
        <v>92.58</v>
      </c>
      <c r="E643" s="19">
        <v>2.39</v>
      </c>
      <c r="F643" s="19">
        <v>32.11</v>
      </c>
      <c r="G643" s="19">
        <v>18.61</v>
      </c>
      <c r="H643" s="20">
        <v>14.4</v>
      </c>
      <c r="I643" s="20">
        <v>41.3</v>
      </c>
      <c r="J643" s="20">
        <v>927.86</v>
      </c>
      <c r="K643" s="21">
        <v>717973.52</v>
      </c>
      <c r="L643" s="2"/>
    </row>
    <row r="644" spans="1:12" x14ac:dyDescent="0.25">
      <c r="A644" s="58">
        <v>46048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8">
        <v>46048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8">
        <v>46048</v>
      </c>
      <c r="B646" s="18">
        <v>0.79166666666666663</v>
      </c>
      <c r="C646" s="19">
        <v>21.18</v>
      </c>
      <c r="D646" s="19">
        <v>89.99</v>
      </c>
      <c r="E646" s="19">
        <v>3.66</v>
      </c>
      <c r="F646" s="19">
        <v>34.840000000000003</v>
      </c>
      <c r="G646" s="19">
        <v>19.79</v>
      </c>
      <c r="H646" s="20">
        <v>13.83</v>
      </c>
      <c r="I646" s="20">
        <v>28.57</v>
      </c>
      <c r="J646" s="20">
        <v>926.86</v>
      </c>
      <c r="K646" s="21">
        <v>689018.1</v>
      </c>
      <c r="L646" s="2"/>
    </row>
    <row r="647" spans="1:12" x14ac:dyDescent="0.25">
      <c r="A647" s="58">
        <v>46048</v>
      </c>
      <c r="B647" s="18">
        <v>0.83333333333333337</v>
      </c>
      <c r="C647" s="19">
        <v>5.59</v>
      </c>
      <c r="D647" s="19">
        <v>68.28</v>
      </c>
      <c r="E647" s="19">
        <v>2.71</v>
      </c>
      <c r="F647" s="19">
        <v>12.43</v>
      </c>
      <c r="G647" s="19">
        <v>19.489999999999998</v>
      </c>
      <c r="H647" s="20">
        <v>14.01</v>
      </c>
      <c r="I647" s="20">
        <v>32.659999999999997</v>
      </c>
      <c r="J647" s="20">
        <v>927.06</v>
      </c>
      <c r="K647" s="21">
        <v>678929.52</v>
      </c>
      <c r="L647" s="2"/>
    </row>
    <row r="648" spans="1:12" x14ac:dyDescent="0.25">
      <c r="A648" s="58">
        <v>46048</v>
      </c>
      <c r="B648" s="18">
        <v>0.875</v>
      </c>
      <c r="C648" s="19">
        <v>8.4</v>
      </c>
      <c r="D648" s="19">
        <v>65.22</v>
      </c>
      <c r="E648" s="19">
        <v>2.74</v>
      </c>
      <c r="F648" s="19">
        <v>31.93</v>
      </c>
      <c r="G648" s="19">
        <v>18.62</v>
      </c>
      <c r="H648" s="20">
        <v>14.14</v>
      </c>
      <c r="I648" s="20">
        <v>35.26</v>
      </c>
      <c r="J648" s="20">
        <v>926.66</v>
      </c>
      <c r="K648" s="21">
        <v>709162.09000000008</v>
      </c>
      <c r="L648" s="2"/>
    </row>
    <row r="649" spans="1:12" x14ac:dyDescent="0.25">
      <c r="A649" s="58">
        <v>46048</v>
      </c>
      <c r="B649" s="18">
        <v>0.91666666666666663</v>
      </c>
      <c r="C649" s="19">
        <v>4.04</v>
      </c>
      <c r="D649" s="19">
        <v>86.1</v>
      </c>
      <c r="E649" s="19">
        <v>2.71</v>
      </c>
      <c r="F649" s="19">
        <v>33.49</v>
      </c>
      <c r="G649" s="19">
        <v>18.43</v>
      </c>
      <c r="H649" s="20">
        <v>14.22</v>
      </c>
      <c r="I649" s="20">
        <v>36.89</v>
      </c>
      <c r="J649" s="20">
        <v>926.29</v>
      </c>
      <c r="K649" s="21">
        <v>740195.17999999993</v>
      </c>
      <c r="L649" s="2"/>
    </row>
    <row r="650" spans="1:12" ht="15.75" thickBot="1" x14ac:dyDescent="0.3">
      <c r="A650" s="60">
        <v>46048</v>
      </c>
      <c r="B650" s="35">
        <v>0.95833333333333337</v>
      </c>
      <c r="C650" s="23">
        <v>6.61</v>
      </c>
      <c r="D650" s="23">
        <v>93.21</v>
      </c>
      <c r="E650" s="23">
        <v>2.31</v>
      </c>
      <c r="F650" s="23">
        <v>35.99</v>
      </c>
      <c r="G650" s="23">
        <v>18.48</v>
      </c>
      <c r="H650" s="24">
        <v>14.08</v>
      </c>
      <c r="I650" s="24">
        <v>37.24</v>
      </c>
      <c r="J650" s="24">
        <v>926.29</v>
      </c>
      <c r="K650" s="25">
        <v>790405.40999999992</v>
      </c>
      <c r="L650" s="2"/>
    </row>
    <row r="651" spans="1:12" ht="15.75" thickBot="1" x14ac:dyDescent="0.3">
      <c r="A651" s="26" t="s">
        <v>37</v>
      </c>
      <c r="B651" s="44"/>
      <c r="C651" s="45">
        <f t="shared" ref="C651:K651" si="25">IFERROR(ROUND(AVERAGE(C627:C650), 2), "")</f>
        <v>10.24</v>
      </c>
      <c r="D651" s="45">
        <f t="shared" si="25"/>
        <v>80.62</v>
      </c>
      <c r="E651" s="45">
        <f t="shared" si="25"/>
        <v>2.4700000000000002</v>
      </c>
      <c r="F651" s="45">
        <f t="shared" si="25"/>
        <v>27.05</v>
      </c>
      <c r="G651" s="45">
        <f t="shared" si="25"/>
        <v>17.77</v>
      </c>
      <c r="H651" s="45">
        <f t="shared" si="25"/>
        <v>14.26</v>
      </c>
      <c r="I651" s="45">
        <f t="shared" si="25"/>
        <v>39.24</v>
      </c>
      <c r="J651" s="45">
        <f t="shared" si="25"/>
        <v>930.14</v>
      </c>
      <c r="K651" s="46">
        <f t="shared" si="25"/>
        <v>880173.24</v>
      </c>
      <c r="L651" s="7"/>
    </row>
    <row r="652" spans="1:12" x14ac:dyDescent="0.25">
      <c r="A652" s="57">
        <v>46049</v>
      </c>
      <c r="B652" s="14">
        <v>0</v>
      </c>
      <c r="C652" s="15">
        <v>5.04</v>
      </c>
      <c r="D652" s="15">
        <v>88.41</v>
      </c>
      <c r="E652" s="15">
        <v>1.99</v>
      </c>
      <c r="F652" s="15">
        <v>17.309999999999999</v>
      </c>
      <c r="G652" s="15">
        <v>18.34</v>
      </c>
      <c r="H652" s="16">
        <v>14.2</v>
      </c>
      <c r="I652" s="16">
        <v>36.799999999999997</v>
      </c>
      <c r="J652" s="16">
        <v>926.75</v>
      </c>
      <c r="K652" s="17">
        <v>745329.79</v>
      </c>
      <c r="L652" s="2"/>
    </row>
    <row r="653" spans="1:12" x14ac:dyDescent="0.25">
      <c r="A653" s="58">
        <v>46049</v>
      </c>
      <c r="B653" s="18">
        <v>4.1666666666666664E-2</v>
      </c>
      <c r="C653" s="19">
        <v>7.11</v>
      </c>
      <c r="D653" s="19">
        <v>70.84</v>
      </c>
      <c r="E653" s="19">
        <v>1.97</v>
      </c>
      <c r="F653" s="19">
        <v>33.17</v>
      </c>
      <c r="G653" s="19">
        <v>17.64</v>
      </c>
      <c r="H653" s="20">
        <v>14.33</v>
      </c>
      <c r="I653" s="20">
        <v>39.270000000000003</v>
      </c>
      <c r="J653" s="20">
        <v>926.18</v>
      </c>
      <c r="K653" s="21">
        <v>810892.98</v>
      </c>
      <c r="L653" s="2"/>
    </row>
    <row r="654" spans="1:12" x14ac:dyDescent="0.25">
      <c r="A654" s="58">
        <v>46049</v>
      </c>
      <c r="B654" s="18">
        <v>8.3333333333333329E-2</v>
      </c>
      <c r="C654" s="19">
        <v>7.37</v>
      </c>
      <c r="D654" s="19">
        <v>73.47</v>
      </c>
      <c r="E654" s="19">
        <v>2.11</v>
      </c>
      <c r="F654" s="19">
        <v>35.520000000000003</v>
      </c>
      <c r="G654" s="19">
        <v>17.260000000000002</v>
      </c>
      <c r="H654" s="20">
        <v>14.45</v>
      </c>
      <c r="I654" s="20">
        <v>41.88</v>
      </c>
      <c r="J654" s="20">
        <v>925.7</v>
      </c>
      <c r="K654" s="21">
        <v>943124.37999999989</v>
      </c>
      <c r="L654" s="2"/>
    </row>
    <row r="655" spans="1:12" x14ac:dyDescent="0.25">
      <c r="A655" s="58">
        <v>46049</v>
      </c>
      <c r="B655" s="18">
        <v>0.125</v>
      </c>
      <c r="C655" s="19">
        <v>5.7</v>
      </c>
      <c r="D655" s="19">
        <v>84.31</v>
      </c>
      <c r="E655" s="19">
        <v>2.29</v>
      </c>
      <c r="F655" s="19">
        <v>24.42</v>
      </c>
      <c r="G655" s="19">
        <v>17.39</v>
      </c>
      <c r="H655" s="20">
        <v>14.5</v>
      </c>
      <c r="I655" s="20">
        <v>42.76</v>
      </c>
      <c r="J655" s="20">
        <v>925.39</v>
      </c>
      <c r="K655" s="21">
        <v>945502.24</v>
      </c>
      <c r="L655" s="2"/>
    </row>
    <row r="656" spans="1:12" x14ac:dyDescent="0.25">
      <c r="A656" s="58">
        <v>46049</v>
      </c>
      <c r="B656" s="18">
        <v>0.16666666666666666</v>
      </c>
      <c r="C656" s="19">
        <v>6.87</v>
      </c>
      <c r="D656" s="19">
        <v>74.12</v>
      </c>
      <c r="E656" s="19">
        <v>2.59</v>
      </c>
      <c r="F656" s="19">
        <v>37.32</v>
      </c>
      <c r="G656" s="19">
        <v>17.329999999999998</v>
      </c>
      <c r="H656" s="20">
        <v>14.5</v>
      </c>
      <c r="I656" s="20">
        <v>42.78</v>
      </c>
      <c r="J656" s="20">
        <v>925.56</v>
      </c>
      <c r="K656" s="21">
        <v>935433.51</v>
      </c>
      <c r="L656" s="2"/>
    </row>
    <row r="657" spans="1:12" x14ac:dyDescent="0.25">
      <c r="A657" s="58">
        <v>46049</v>
      </c>
      <c r="B657" s="18">
        <v>0.20833333333333334</v>
      </c>
      <c r="C657" s="19">
        <v>7.38</v>
      </c>
      <c r="D657" s="19">
        <v>70.13</v>
      </c>
      <c r="E657" s="19">
        <v>2.5</v>
      </c>
      <c r="F657" s="19">
        <v>34.909999999999997</v>
      </c>
      <c r="G657" s="19">
        <v>17.059999999999999</v>
      </c>
      <c r="H657" s="20">
        <v>14.55</v>
      </c>
      <c r="I657" s="20">
        <v>43.87</v>
      </c>
      <c r="J657" s="20">
        <v>925.53</v>
      </c>
      <c r="K657" s="21">
        <v>978968.46</v>
      </c>
      <c r="L657" s="2"/>
    </row>
    <row r="658" spans="1:12" x14ac:dyDescent="0.25">
      <c r="A658" s="58">
        <v>46049</v>
      </c>
      <c r="B658" s="18">
        <v>0.25</v>
      </c>
      <c r="C658" s="19">
        <v>3.94</v>
      </c>
      <c r="D658" s="19">
        <v>81.23</v>
      </c>
      <c r="E658" s="19">
        <v>2.57</v>
      </c>
      <c r="F658" s="19">
        <v>30.05</v>
      </c>
      <c r="G658" s="19">
        <v>17.14</v>
      </c>
      <c r="H658" s="20">
        <v>14.56</v>
      </c>
      <c r="I658" s="20">
        <v>44.11</v>
      </c>
      <c r="J658" s="20">
        <v>925.45</v>
      </c>
      <c r="K658" s="21">
        <v>989862.95</v>
      </c>
      <c r="L658" s="2"/>
    </row>
    <row r="659" spans="1:12" x14ac:dyDescent="0.25">
      <c r="A659" s="58">
        <v>46049</v>
      </c>
      <c r="B659" s="18">
        <v>0.29166666666666669</v>
      </c>
      <c r="C659" s="19">
        <v>4.8499999999999996</v>
      </c>
      <c r="D659" s="19">
        <v>84.48</v>
      </c>
      <c r="E659" s="19">
        <v>2.93</v>
      </c>
      <c r="F659" s="19">
        <v>34.57</v>
      </c>
      <c r="G659" s="19">
        <v>17.18</v>
      </c>
      <c r="H659" s="20">
        <v>14.56</v>
      </c>
      <c r="I659" s="20">
        <v>44.12</v>
      </c>
      <c r="J659" s="20">
        <v>925.49</v>
      </c>
      <c r="K659" s="21">
        <v>1006352.9099999999</v>
      </c>
      <c r="L659" s="2"/>
    </row>
    <row r="660" spans="1:12" x14ac:dyDescent="0.25">
      <c r="A660" s="58">
        <v>46049</v>
      </c>
      <c r="B660" s="18">
        <v>0.33333333333333331</v>
      </c>
      <c r="C660" s="19">
        <v>6.34</v>
      </c>
      <c r="D660" s="19">
        <v>81.150000000000006</v>
      </c>
      <c r="E660" s="19">
        <v>2.64</v>
      </c>
      <c r="F660" s="19">
        <v>35.68</v>
      </c>
      <c r="G660" s="19">
        <v>17.149999999999999</v>
      </c>
      <c r="H660" s="20">
        <v>14.55</v>
      </c>
      <c r="I660" s="20">
        <v>44.07</v>
      </c>
      <c r="J660" s="20">
        <v>925.88</v>
      </c>
      <c r="K660" s="21">
        <v>1007119.21</v>
      </c>
      <c r="L660" s="2"/>
    </row>
    <row r="661" spans="1:12" x14ac:dyDescent="0.25">
      <c r="A661" s="58">
        <v>46049</v>
      </c>
      <c r="B661" s="18">
        <v>0.375</v>
      </c>
      <c r="C661" s="19">
        <v>4.8499999999999996</v>
      </c>
      <c r="D661" s="19">
        <v>79.44</v>
      </c>
      <c r="E661" s="19">
        <v>2.92</v>
      </c>
      <c r="F661" s="19">
        <v>31.37</v>
      </c>
      <c r="G661" s="19">
        <v>17.14</v>
      </c>
      <c r="H661" s="20">
        <v>14.54</v>
      </c>
      <c r="I661" s="20">
        <v>43.85</v>
      </c>
      <c r="J661" s="20">
        <v>926.31</v>
      </c>
      <c r="K661" s="21">
        <v>1011423.1299999999</v>
      </c>
      <c r="L661" s="2"/>
    </row>
    <row r="662" spans="1:12" x14ac:dyDescent="0.25">
      <c r="A662" s="58">
        <v>46049</v>
      </c>
      <c r="B662" s="18">
        <v>0.41666666666666669</v>
      </c>
      <c r="C662" s="19">
        <v>3.79</v>
      </c>
      <c r="D662" s="19">
        <v>78.739999999999995</v>
      </c>
      <c r="E662" s="19">
        <v>2.5099999999999998</v>
      </c>
      <c r="F662" s="19">
        <v>37.99</v>
      </c>
      <c r="G662" s="19">
        <v>17.12</v>
      </c>
      <c r="H662" s="20">
        <v>14.52</v>
      </c>
      <c r="I662" s="20">
        <v>43.64</v>
      </c>
      <c r="J662" s="20">
        <v>926.75</v>
      </c>
      <c r="K662" s="21">
        <v>1013659.53</v>
      </c>
      <c r="L662" s="2"/>
    </row>
    <row r="663" spans="1:12" x14ac:dyDescent="0.25">
      <c r="A663" s="58">
        <v>46049</v>
      </c>
      <c r="B663" s="18">
        <v>0.45833333333333331</v>
      </c>
      <c r="C663" s="19">
        <v>5.04</v>
      </c>
      <c r="D663" s="19">
        <v>78.290000000000006</v>
      </c>
      <c r="E663" s="19">
        <v>1.93</v>
      </c>
      <c r="F663" s="19">
        <v>32.380000000000003</v>
      </c>
      <c r="G663" s="19">
        <v>17.14</v>
      </c>
      <c r="H663" s="20">
        <v>14.52</v>
      </c>
      <c r="I663" s="20">
        <v>43.58</v>
      </c>
      <c r="J663" s="20">
        <v>926.66</v>
      </c>
      <c r="K663" s="21">
        <v>1019953.24</v>
      </c>
      <c r="L663" s="2"/>
    </row>
    <row r="664" spans="1:12" x14ac:dyDescent="0.25">
      <c r="A664" s="58">
        <v>46049</v>
      </c>
      <c r="B664" s="18">
        <v>0.5</v>
      </c>
      <c r="C664" s="19">
        <v>4.34</v>
      </c>
      <c r="D664" s="19">
        <v>77.959999999999994</v>
      </c>
      <c r="E664" s="19">
        <v>2.1800000000000002</v>
      </c>
      <c r="F664" s="19">
        <v>35.82</v>
      </c>
      <c r="G664" s="19">
        <v>17.149999999999999</v>
      </c>
      <c r="H664" s="20">
        <v>14.52</v>
      </c>
      <c r="I664" s="20">
        <v>43.5</v>
      </c>
      <c r="J664" s="20">
        <v>926.59</v>
      </c>
      <c r="K664" s="21">
        <v>1019975.8999999999</v>
      </c>
      <c r="L664" s="2"/>
    </row>
    <row r="665" spans="1:12" x14ac:dyDescent="0.25">
      <c r="A665" s="58">
        <v>46049</v>
      </c>
      <c r="B665" s="18">
        <v>0.54166666666666663</v>
      </c>
      <c r="C665" s="19">
        <v>4.63</v>
      </c>
      <c r="D665" s="19">
        <v>78.62</v>
      </c>
      <c r="E665" s="19">
        <v>2.42</v>
      </c>
      <c r="F665" s="19">
        <v>36.67</v>
      </c>
      <c r="G665" s="19">
        <v>17.16</v>
      </c>
      <c r="H665" s="20">
        <v>14.51</v>
      </c>
      <c r="I665" s="20">
        <v>43.4</v>
      </c>
      <c r="J665" s="20">
        <v>926.78</v>
      </c>
      <c r="K665" s="21">
        <v>1023080.05</v>
      </c>
      <c r="L665" s="2"/>
    </row>
    <row r="666" spans="1:12" x14ac:dyDescent="0.25">
      <c r="A666" s="58">
        <v>46049</v>
      </c>
      <c r="B666" s="18">
        <v>0.58333333333333337</v>
      </c>
      <c r="C666" s="19">
        <v>5.33</v>
      </c>
      <c r="D666" s="19">
        <v>77.349999999999994</v>
      </c>
      <c r="E666" s="19">
        <v>2.23</v>
      </c>
      <c r="F666" s="19">
        <v>35.9</v>
      </c>
      <c r="G666" s="19">
        <v>17.16</v>
      </c>
      <c r="H666" s="20">
        <v>14.51</v>
      </c>
      <c r="I666" s="20">
        <v>43.45</v>
      </c>
      <c r="J666" s="20">
        <v>927.2</v>
      </c>
      <c r="K666" s="21">
        <v>1032649.1799999999</v>
      </c>
      <c r="L666" s="2"/>
    </row>
    <row r="667" spans="1:12" x14ac:dyDescent="0.25">
      <c r="A667" s="58">
        <v>46049</v>
      </c>
      <c r="B667" s="18">
        <v>0.625</v>
      </c>
      <c r="C667" s="19">
        <v>4.42</v>
      </c>
      <c r="D667" s="19">
        <v>75.66</v>
      </c>
      <c r="E667" s="19">
        <v>2.72</v>
      </c>
      <c r="F667" s="19">
        <v>25.3</v>
      </c>
      <c r="G667" s="19">
        <v>17.13</v>
      </c>
      <c r="H667" s="20">
        <v>14.5</v>
      </c>
      <c r="I667" s="20">
        <v>43.56</v>
      </c>
      <c r="J667" s="20">
        <v>927.69</v>
      </c>
      <c r="K667" s="21">
        <v>1037810.8999999999</v>
      </c>
      <c r="L667" s="2"/>
    </row>
    <row r="668" spans="1:12" x14ac:dyDescent="0.25">
      <c r="A668" s="58">
        <v>46049</v>
      </c>
      <c r="B668" s="18">
        <v>0.66666666666666663</v>
      </c>
      <c r="C668" s="19">
        <v>2.25</v>
      </c>
      <c r="D668" s="19">
        <v>74.569999999999993</v>
      </c>
      <c r="E668" s="19">
        <v>2.68</v>
      </c>
      <c r="F668" s="19">
        <v>24.12</v>
      </c>
      <c r="G668" s="19">
        <v>17.13</v>
      </c>
      <c r="H668" s="20">
        <v>14.5</v>
      </c>
      <c r="I668" s="20">
        <v>43.66</v>
      </c>
      <c r="J668" s="20">
        <v>928.13</v>
      </c>
      <c r="K668" s="21">
        <v>1028302.47</v>
      </c>
      <c r="L668" s="2"/>
    </row>
    <row r="669" spans="1:12" x14ac:dyDescent="0.25">
      <c r="A669" s="58">
        <v>46049</v>
      </c>
      <c r="B669" s="18">
        <v>0.70833333333333337</v>
      </c>
      <c r="C669" s="19">
        <v>3.56</v>
      </c>
      <c r="D669" s="19">
        <v>74.63</v>
      </c>
      <c r="E669" s="19">
        <v>2.89</v>
      </c>
      <c r="F669" s="19">
        <v>24.13</v>
      </c>
      <c r="G669" s="19">
        <v>17.13</v>
      </c>
      <c r="H669" s="20">
        <v>14.5</v>
      </c>
      <c r="I669" s="20">
        <v>43.77</v>
      </c>
      <c r="J669" s="20">
        <v>928.49</v>
      </c>
      <c r="K669" s="21">
        <v>1033776.8500000001</v>
      </c>
      <c r="L669" s="2"/>
    </row>
    <row r="670" spans="1:12" x14ac:dyDescent="0.25">
      <c r="A670" s="58">
        <v>46049</v>
      </c>
      <c r="B670" s="18">
        <v>0.75</v>
      </c>
      <c r="C670" s="19">
        <v>3.34</v>
      </c>
      <c r="D670" s="19">
        <v>74.069999999999993</v>
      </c>
      <c r="E670" s="19">
        <v>2.61</v>
      </c>
      <c r="F670" s="19">
        <v>21.05</v>
      </c>
      <c r="G670" s="19">
        <v>17.13</v>
      </c>
      <c r="H670" s="20">
        <v>14.5</v>
      </c>
      <c r="I670" s="20">
        <v>43.92</v>
      </c>
      <c r="J670" s="20">
        <v>929.16</v>
      </c>
      <c r="K670" s="21">
        <v>1028812.8500000001</v>
      </c>
      <c r="L670" s="2"/>
    </row>
    <row r="671" spans="1:12" x14ac:dyDescent="0.25">
      <c r="A671" s="58">
        <v>46049</v>
      </c>
      <c r="B671" s="18">
        <v>0.79166666666666663</v>
      </c>
      <c r="C671" s="19">
        <v>2.4500000000000002</v>
      </c>
      <c r="D671" s="19">
        <v>74.47</v>
      </c>
      <c r="E671" s="19">
        <v>2.2999999999999998</v>
      </c>
      <c r="F671" s="19">
        <v>25.66</v>
      </c>
      <c r="G671" s="19">
        <v>17.12</v>
      </c>
      <c r="H671" s="20">
        <v>14.5</v>
      </c>
      <c r="I671" s="20">
        <v>44.02</v>
      </c>
      <c r="J671" s="20">
        <v>929.65</v>
      </c>
      <c r="K671" s="21">
        <v>1034260.8</v>
      </c>
      <c r="L671" s="2"/>
    </row>
    <row r="672" spans="1:12" x14ac:dyDescent="0.25">
      <c r="A672" s="58">
        <v>46049</v>
      </c>
      <c r="B672" s="18">
        <v>0.83333333333333337</v>
      </c>
      <c r="C672" s="19">
        <v>5.27</v>
      </c>
      <c r="D672" s="19">
        <v>74.44</v>
      </c>
      <c r="E672" s="19">
        <v>2.0099999999999998</v>
      </c>
      <c r="F672" s="19">
        <v>31.31</v>
      </c>
      <c r="G672" s="19">
        <v>17.149999999999999</v>
      </c>
      <c r="H672" s="20">
        <v>14.49</v>
      </c>
      <c r="I672" s="20">
        <v>43.9</v>
      </c>
      <c r="J672" s="20">
        <v>929.75</v>
      </c>
      <c r="K672" s="21">
        <v>1026984.6699999999</v>
      </c>
      <c r="L672" s="2"/>
    </row>
    <row r="673" spans="1:12" x14ac:dyDescent="0.25">
      <c r="A673" s="58">
        <v>46049</v>
      </c>
      <c r="B673" s="18">
        <v>0.875</v>
      </c>
      <c r="C673" s="19">
        <v>6.02</v>
      </c>
      <c r="D673" s="19">
        <v>74.819999999999993</v>
      </c>
      <c r="E673" s="19">
        <v>1.79</v>
      </c>
      <c r="F673" s="19">
        <v>24.47</v>
      </c>
      <c r="G673" s="19">
        <v>17.170000000000002</v>
      </c>
      <c r="H673" s="20">
        <v>14.49</v>
      </c>
      <c r="I673" s="20">
        <v>43.89</v>
      </c>
      <c r="J673" s="20">
        <v>930.14</v>
      </c>
      <c r="K673" s="21">
        <v>1044055.78</v>
      </c>
      <c r="L673" s="2"/>
    </row>
    <row r="674" spans="1:12" x14ac:dyDescent="0.25">
      <c r="A674" s="58">
        <v>46049</v>
      </c>
      <c r="B674" s="18">
        <v>0.91666666666666663</v>
      </c>
      <c r="C674" s="19">
        <v>5.77</v>
      </c>
      <c r="D674" s="19">
        <v>73.97</v>
      </c>
      <c r="E674" s="19">
        <v>2.57</v>
      </c>
      <c r="F674" s="19">
        <v>34.93</v>
      </c>
      <c r="G674" s="19">
        <v>17.18</v>
      </c>
      <c r="H674" s="20">
        <v>14.48</v>
      </c>
      <c r="I674" s="20">
        <v>43.88</v>
      </c>
      <c r="J674" s="20">
        <v>930.45</v>
      </c>
      <c r="K674" s="21">
        <v>1042403.55</v>
      </c>
      <c r="L674" s="2"/>
    </row>
    <row r="675" spans="1:12" ht="15.75" thickBot="1" x14ac:dyDescent="0.3">
      <c r="A675" s="60">
        <v>46049</v>
      </c>
      <c r="B675" s="35">
        <v>0.95833333333333337</v>
      </c>
      <c r="C675" s="23">
        <v>5.85</v>
      </c>
      <c r="D675" s="23">
        <v>74.14</v>
      </c>
      <c r="E675" s="23">
        <v>2.23</v>
      </c>
      <c r="F675" s="23">
        <v>22.65</v>
      </c>
      <c r="G675" s="23">
        <v>17.170000000000002</v>
      </c>
      <c r="H675" s="24">
        <v>14.48</v>
      </c>
      <c r="I675" s="24">
        <v>43.96</v>
      </c>
      <c r="J675" s="24">
        <v>930.47</v>
      </c>
      <c r="K675" s="25">
        <v>1036905.3700000001</v>
      </c>
      <c r="L675" s="2"/>
    </row>
    <row r="676" spans="1:12" ht="15.75" thickBot="1" x14ac:dyDescent="0.3">
      <c r="A676" s="26" t="s">
        <v>38</v>
      </c>
      <c r="B676" s="44"/>
      <c r="C676" s="45">
        <f t="shared" ref="C676:K676" si="26">IFERROR(ROUND(AVERAGE(C652:C675), 2), "")</f>
        <v>5.0599999999999996</v>
      </c>
      <c r="D676" s="45">
        <f t="shared" si="26"/>
        <v>77.05</v>
      </c>
      <c r="E676" s="45">
        <f t="shared" si="26"/>
        <v>2.4</v>
      </c>
      <c r="F676" s="45">
        <f t="shared" si="26"/>
        <v>30.28</v>
      </c>
      <c r="G676" s="45">
        <f t="shared" si="26"/>
        <v>17.239999999999998</v>
      </c>
      <c r="H676" s="45">
        <f t="shared" si="26"/>
        <v>14.49</v>
      </c>
      <c r="I676" s="45">
        <f t="shared" si="26"/>
        <v>43.15</v>
      </c>
      <c r="J676" s="45">
        <f t="shared" si="26"/>
        <v>927.34</v>
      </c>
      <c r="K676" s="46">
        <f t="shared" si="26"/>
        <v>991526.7</v>
      </c>
      <c r="L676" s="7"/>
    </row>
    <row r="677" spans="1:12" x14ac:dyDescent="0.25">
      <c r="A677" s="57">
        <v>46050</v>
      </c>
      <c r="B677" s="14">
        <v>0</v>
      </c>
      <c r="C677" s="15">
        <v>5.97</v>
      </c>
      <c r="D677" s="15">
        <v>74.02</v>
      </c>
      <c r="E677" s="15">
        <v>1.81</v>
      </c>
      <c r="F677" s="15">
        <v>38.32</v>
      </c>
      <c r="G677" s="16">
        <v>17.170000000000002</v>
      </c>
      <c r="H677" s="16">
        <v>14.48</v>
      </c>
      <c r="I677" s="16">
        <v>44.02</v>
      </c>
      <c r="J677" s="16">
        <v>930.42</v>
      </c>
      <c r="K677" s="31">
        <v>1032465.95</v>
      </c>
      <c r="L677" s="1"/>
    </row>
    <row r="678" spans="1:12" x14ac:dyDescent="0.25">
      <c r="A678" s="58">
        <v>46050</v>
      </c>
      <c r="B678" s="18">
        <v>4.1666666666666664E-2</v>
      </c>
      <c r="C678" s="19">
        <v>3.13</v>
      </c>
      <c r="D678" s="19">
        <v>78.03</v>
      </c>
      <c r="E678" s="19">
        <v>1.9</v>
      </c>
      <c r="F678" s="19">
        <v>39.340000000000003</v>
      </c>
      <c r="G678" s="20">
        <v>17.25</v>
      </c>
      <c r="H678" s="20">
        <v>14.44</v>
      </c>
      <c r="I678" s="20">
        <v>43.35</v>
      </c>
      <c r="J678" s="20">
        <v>930.56</v>
      </c>
      <c r="K678" s="32">
        <v>999083.01</v>
      </c>
      <c r="L678" s="1"/>
    </row>
    <row r="679" spans="1:12" x14ac:dyDescent="0.25">
      <c r="A679" s="58">
        <v>46050</v>
      </c>
      <c r="B679" s="18">
        <v>8.3333333333333329E-2</v>
      </c>
      <c r="C679" s="19">
        <v>4.2</v>
      </c>
      <c r="D679" s="19">
        <v>76.14</v>
      </c>
      <c r="E679" s="19">
        <v>2.25</v>
      </c>
      <c r="F679" s="19">
        <v>33.89</v>
      </c>
      <c r="G679" s="20">
        <v>17.260000000000002</v>
      </c>
      <c r="H679" s="20">
        <v>14.43</v>
      </c>
      <c r="I679" s="20">
        <v>43</v>
      </c>
      <c r="J679" s="20">
        <v>930.78</v>
      </c>
      <c r="K679" s="32">
        <v>990180.26</v>
      </c>
      <c r="L679" s="1"/>
    </row>
    <row r="680" spans="1:12" x14ac:dyDescent="0.25">
      <c r="A680" s="58">
        <v>46050</v>
      </c>
      <c r="B680" s="18">
        <v>0.125</v>
      </c>
      <c r="C680" s="19">
        <v>6.55</v>
      </c>
      <c r="D680" s="19">
        <v>76.75</v>
      </c>
      <c r="E680" s="19">
        <v>1.9</v>
      </c>
      <c r="F680" s="19">
        <v>33.520000000000003</v>
      </c>
      <c r="G680" s="20">
        <v>17.260000000000002</v>
      </c>
      <c r="H680" s="20">
        <v>14.43</v>
      </c>
      <c r="I680" s="20">
        <v>43.06</v>
      </c>
      <c r="J680" s="20">
        <v>930.75</v>
      </c>
      <c r="K680" s="32">
        <v>993826.78</v>
      </c>
      <c r="L680" s="1"/>
    </row>
    <row r="681" spans="1:12" x14ac:dyDescent="0.25">
      <c r="A681" s="58">
        <v>46050</v>
      </c>
      <c r="B681" s="18">
        <v>0.16666666666666666</v>
      </c>
      <c r="C681" s="19">
        <v>4.2300000000000004</v>
      </c>
      <c r="D681" s="19">
        <v>76.86</v>
      </c>
      <c r="E681" s="19">
        <v>2.52</v>
      </c>
      <c r="F681" s="19">
        <v>36.43</v>
      </c>
      <c r="G681" s="20">
        <v>17.25</v>
      </c>
      <c r="H681" s="20">
        <v>14.43</v>
      </c>
      <c r="I681" s="20">
        <v>42.87</v>
      </c>
      <c r="J681" s="20">
        <v>930.4</v>
      </c>
      <c r="K681" s="32">
        <v>993129.14999999991</v>
      </c>
      <c r="L681" s="1"/>
    </row>
    <row r="682" spans="1:12" x14ac:dyDescent="0.25">
      <c r="A682" s="58">
        <v>46050</v>
      </c>
      <c r="B682" s="18">
        <v>0.20833333333333334</v>
      </c>
      <c r="C682" s="19">
        <v>5.18</v>
      </c>
      <c r="D682" s="19">
        <v>75.53</v>
      </c>
      <c r="E682" s="19">
        <v>2.2000000000000002</v>
      </c>
      <c r="F682" s="19">
        <v>38.4</v>
      </c>
      <c r="G682" s="20">
        <v>17.27</v>
      </c>
      <c r="H682" s="20">
        <v>14.42</v>
      </c>
      <c r="I682" s="20">
        <v>42.88</v>
      </c>
      <c r="J682" s="20">
        <v>930.59</v>
      </c>
      <c r="K682" s="32">
        <v>995674.07000000007</v>
      </c>
      <c r="L682" s="1"/>
    </row>
    <row r="683" spans="1:12" x14ac:dyDescent="0.25">
      <c r="A683" s="58">
        <v>46050</v>
      </c>
      <c r="B683" s="18">
        <v>0.25</v>
      </c>
      <c r="C683" s="19">
        <v>5.6</v>
      </c>
      <c r="D683" s="19">
        <v>78.400000000000006</v>
      </c>
      <c r="E683" s="19">
        <v>2.4700000000000002</v>
      </c>
      <c r="F683" s="19">
        <v>35.200000000000003</v>
      </c>
      <c r="G683" s="20">
        <v>17.239999999999998</v>
      </c>
      <c r="H683" s="20">
        <v>14.44</v>
      </c>
      <c r="I683" s="20">
        <v>43.18</v>
      </c>
      <c r="J683" s="20">
        <v>930.38</v>
      </c>
      <c r="K683" s="32">
        <v>999371.04</v>
      </c>
      <c r="L683" s="1"/>
    </row>
    <row r="684" spans="1:12" x14ac:dyDescent="0.25">
      <c r="A684" s="58">
        <v>46050</v>
      </c>
      <c r="B684" s="18">
        <v>0.29166666666666669</v>
      </c>
      <c r="C684" s="19">
        <v>5.38</v>
      </c>
      <c r="D684" s="19">
        <v>83.51</v>
      </c>
      <c r="E684" s="19">
        <v>2.63</v>
      </c>
      <c r="F684" s="19">
        <v>5.26</v>
      </c>
      <c r="G684" s="20">
        <v>17.329999999999998</v>
      </c>
      <c r="H684" s="20">
        <v>14.44</v>
      </c>
      <c r="I684" s="20">
        <v>43.23</v>
      </c>
      <c r="J684" s="20">
        <v>930.6</v>
      </c>
      <c r="K684" s="32">
        <v>1004445.21</v>
      </c>
      <c r="L684" s="1"/>
    </row>
    <row r="685" spans="1:12" x14ac:dyDescent="0.25">
      <c r="A685" s="58">
        <v>46050</v>
      </c>
      <c r="B685" s="18">
        <v>0.33333333333333331</v>
      </c>
      <c r="C685" s="19">
        <v>4.62</v>
      </c>
      <c r="D685" s="19">
        <v>82.19</v>
      </c>
      <c r="E685" s="19">
        <v>2.85</v>
      </c>
      <c r="F685" s="19">
        <v>3.08</v>
      </c>
      <c r="G685" s="20">
        <v>17.36</v>
      </c>
      <c r="H685" s="20">
        <v>14.43</v>
      </c>
      <c r="I685" s="20">
        <v>43.3</v>
      </c>
      <c r="J685" s="20">
        <v>931.07</v>
      </c>
      <c r="K685" s="32">
        <v>1005350.22</v>
      </c>
      <c r="L685" s="1"/>
    </row>
    <row r="686" spans="1:12" x14ac:dyDescent="0.25">
      <c r="A686" s="58">
        <v>46050</v>
      </c>
      <c r="B686" s="18">
        <v>0.375</v>
      </c>
      <c r="C686" s="19">
        <v>5.59</v>
      </c>
      <c r="D686" s="19">
        <v>82.34</v>
      </c>
      <c r="E686" s="19">
        <v>2.92</v>
      </c>
      <c r="F686" s="19">
        <v>3.51</v>
      </c>
      <c r="G686" s="20">
        <v>17.37</v>
      </c>
      <c r="H686" s="20">
        <v>14.42</v>
      </c>
      <c r="I686" s="20">
        <v>43.05</v>
      </c>
      <c r="J686" s="20">
        <v>931.1</v>
      </c>
      <c r="K686" s="32">
        <v>1008659.5</v>
      </c>
      <c r="L686" s="1"/>
    </row>
    <row r="687" spans="1:12" x14ac:dyDescent="0.25">
      <c r="A687" s="58">
        <v>46050</v>
      </c>
      <c r="B687" s="18">
        <v>0.41666666666666669</v>
      </c>
      <c r="C687" s="19">
        <v>3.93</v>
      </c>
      <c r="D687" s="19">
        <v>82.8</v>
      </c>
      <c r="E687" s="19">
        <v>3.07</v>
      </c>
      <c r="F687" s="19">
        <v>3.26</v>
      </c>
      <c r="G687" s="20">
        <v>17.36</v>
      </c>
      <c r="H687" s="20">
        <v>14.44</v>
      </c>
      <c r="I687" s="20">
        <v>43.41</v>
      </c>
      <c r="J687" s="20">
        <v>930.74</v>
      </c>
      <c r="K687" s="32">
        <v>1010427.2</v>
      </c>
      <c r="L687" s="1"/>
    </row>
    <row r="688" spans="1:12" x14ac:dyDescent="0.25">
      <c r="A688" s="58">
        <v>46050</v>
      </c>
      <c r="B688" s="18">
        <v>0.45833333333333331</v>
      </c>
      <c r="C688" s="19">
        <v>4.72</v>
      </c>
      <c r="D688" s="19">
        <v>81.12</v>
      </c>
      <c r="E688" s="19">
        <v>1.86</v>
      </c>
      <c r="F688" s="19">
        <v>3.23</v>
      </c>
      <c r="G688" s="20">
        <v>17.329999999999998</v>
      </c>
      <c r="H688" s="20">
        <v>14.51</v>
      </c>
      <c r="I688" s="20">
        <v>44.84</v>
      </c>
      <c r="J688" s="20">
        <v>930.37</v>
      </c>
      <c r="K688" s="32">
        <v>999781.6100000001</v>
      </c>
      <c r="L688" s="1"/>
    </row>
    <row r="689" spans="1:12" x14ac:dyDescent="0.25">
      <c r="A689" s="58">
        <v>46050</v>
      </c>
      <c r="B689" s="18">
        <v>0.5</v>
      </c>
      <c r="C689" s="19">
        <v>4.18</v>
      </c>
      <c r="D689" s="19">
        <v>79.47</v>
      </c>
      <c r="E689" s="19">
        <v>1.43</v>
      </c>
      <c r="F689" s="19">
        <v>6</v>
      </c>
      <c r="G689" s="20">
        <v>17.3</v>
      </c>
      <c r="H689" s="20">
        <v>14.58</v>
      </c>
      <c r="I689" s="20">
        <v>46.03</v>
      </c>
      <c r="J689" s="20">
        <v>929.69</v>
      </c>
      <c r="K689" s="32">
        <v>986794.55</v>
      </c>
      <c r="L689" s="1"/>
    </row>
    <row r="690" spans="1:12" x14ac:dyDescent="0.25">
      <c r="A690" s="58">
        <v>46050</v>
      </c>
      <c r="B690" s="18">
        <v>0.54166666666666663</v>
      </c>
      <c r="C690" s="19">
        <v>5.17</v>
      </c>
      <c r="D690" s="19">
        <v>78.239999999999995</v>
      </c>
      <c r="E690" s="19">
        <v>1.64</v>
      </c>
      <c r="F690" s="19">
        <v>6.77</v>
      </c>
      <c r="G690" s="20">
        <v>17.28</v>
      </c>
      <c r="H690" s="20">
        <v>14.63</v>
      </c>
      <c r="I690" s="20">
        <v>46.87</v>
      </c>
      <c r="J690" s="20">
        <v>928.93</v>
      </c>
      <c r="K690" s="32">
        <v>987086.58000000007</v>
      </c>
      <c r="L690" s="1"/>
    </row>
    <row r="691" spans="1:12" x14ac:dyDescent="0.25">
      <c r="A691" s="58">
        <v>46050</v>
      </c>
      <c r="B691" s="18">
        <v>0.58333333333333337</v>
      </c>
      <c r="C691" s="19">
        <v>5.26</v>
      </c>
      <c r="D691" s="19">
        <v>76.59</v>
      </c>
      <c r="E691" s="19">
        <v>1.96</v>
      </c>
      <c r="F691" s="19">
        <v>7.12</v>
      </c>
      <c r="G691" s="20">
        <v>17.29</v>
      </c>
      <c r="H691" s="20">
        <v>14.66</v>
      </c>
      <c r="I691" s="20">
        <v>47.42</v>
      </c>
      <c r="J691" s="20">
        <v>928.38</v>
      </c>
      <c r="K691" s="32">
        <v>973088.33000000007</v>
      </c>
      <c r="L691" s="1"/>
    </row>
    <row r="692" spans="1:12" x14ac:dyDescent="0.25">
      <c r="A692" s="58">
        <v>46050</v>
      </c>
      <c r="B692" s="18">
        <v>0.625</v>
      </c>
      <c r="C692" s="19">
        <v>3.95</v>
      </c>
      <c r="D692" s="19">
        <v>77.28</v>
      </c>
      <c r="E692" s="19">
        <v>1.71</v>
      </c>
      <c r="F692" s="19">
        <v>8.49</v>
      </c>
      <c r="G692" s="20">
        <v>17.28</v>
      </c>
      <c r="H692" s="20">
        <v>14.69</v>
      </c>
      <c r="I692" s="20">
        <v>47.91</v>
      </c>
      <c r="J692" s="20">
        <v>928.01</v>
      </c>
      <c r="K692" s="32">
        <v>976349.3</v>
      </c>
      <c r="L692" s="1"/>
    </row>
    <row r="693" spans="1:12" x14ac:dyDescent="0.25">
      <c r="A693" s="58">
        <v>46050</v>
      </c>
      <c r="B693" s="18">
        <v>0.66666666666666663</v>
      </c>
      <c r="C693" s="19">
        <v>5.78</v>
      </c>
      <c r="D693" s="19">
        <v>80.430000000000007</v>
      </c>
      <c r="E693" s="19">
        <v>0.93</v>
      </c>
      <c r="F693" s="19">
        <v>5.67</v>
      </c>
      <c r="G693" s="20">
        <v>17.309999999999999</v>
      </c>
      <c r="H693" s="20">
        <v>14.69</v>
      </c>
      <c r="I693" s="20">
        <v>47.84</v>
      </c>
      <c r="J693" s="20">
        <v>927.77</v>
      </c>
      <c r="K693" s="32">
        <v>967697.62000000011</v>
      </c>
      <c r="L693" s="1"/>
    </row>
    <row r="694" spans="1:12" x14ac:dyDescent="0.25">
      <c r="A694" s="58">
        <v>46050</v>
      </c>
      <c r="B694" s="18">
        <v>0.70833333333333337</v>
      </c>
      <c r="C694" s="19">
        <v>3.14</v>
      </c>
      <c r="D694" s="19">
        <v>82.32</v>
      </c>
      <c r="E694" s="19">
        <v>1.08</v>
      </c>
      <c r="F694" s="19">
        <v>3.55</v>
      </c>
      <c r="G694" s="20">
        <v>17.309999999999999</v>
      </c>
      <c r="H694" s="20">
        <v>14.68</v>
      </c>
      <c r="I694" s="20">
        <v>47.52</v>
      </c>
      <c r="J694" s="20">
        <v>927.55</v>
      </c>
      <c r="K694" s="32">
        <v>965247.24</v>
      </c>
      <c r="L694" s="1"/>
    </row>
    <row r="695" spans="1:12" x14ac:dyDescent="0.25">
      <c r="A695" s="58">
        <v>46050</v>
      </c>
      <c r="B695" s="18">
        <v>0.75</v>
      </c>
      <c r="C695" s="19">
        <v>4.01</v>
      </c>
      <c r="D695" s="19">
        <v>83.34</v>
      </c>
      <c r="E695" s="19">
        <v>0.92</v>
      </c>
      <c r="F695" s="19">
        <v>3.55</v>
      </c>
      <c r="G695" s="20">
        <v>17.3</v>
      </c>
      <c r="H695" s="20">
        <v>14.68</v>
      </c>
      <c r="I695" s="20">
        <v>47.29</v>
      </c>
      <c r="J695" s="20">
        <v>927.28</v>
      </c>
      <c r="K695" s="32">
        <v>963919.57000000007</v>
      </c>
      <c r="L695" s="1"/>
    </row>
    <row r="696" spans="1:12" x14ac:dyDescent="0.25">
      <c r="A696" s="58">
        <v>46050</v>
      </c>
      <c r="B696" s="18">
        <v>0.79166666666666663</v>
      </c>
      <c r="C696" s="19">
        <v>4.5999999999999996</v>
      </c>
      <c r="D696" s="19">
        <v>83.58</v>
      </c>
      <c r="E696" s="19">
        <v>1.03</v>
      </c>
      <c r="F696" s="19">
        <v>5.2</v>
      </c>
      <c r="G696" s="20">
        <v>17.32</v>
      </c>
      <c r="H696" s="20">
        <v>14.67</v>
      </c>
      <c r="I696" s="20">
        <v>47.05</v>
      </c>
      <c r="J696" s="20">
        <v>926.78</v>
      </c>
      <c r="K696" s="32">
        <v>964072.15999999992</v>
      </c>
      <c r="L696" s="1"/>
    </row>
    <row r="697" spans="1:12" x14ac:dyDescent="0.25">
      <c r="A697" s="58">
        <v>46050</v>
      </c>
      <c r="B697" s="18">
        <v>0.83333333333333337</v>
      </c>
      <c r="C697" s="19">
        <v>5.05</v>
      </c>
      <c r="D697" s="19">
        <v>83.03</v>
      </c>
      <c r="E697" s="19">
        <v>0.89</v>
      </c>
      <c r="F697" s="19">
        <v>6.03</v>
      </c>
      <c r="G697" s="20">
        <v>17.309999999999999</v>
      </c>
      <c r="H697" s="20">
        <v>14.68</v>
      </c>
      <c r="I697" s="20">
        <v>47.01</v>
      </c>
      <c r="J697" s="20">
        <v>926.38</v>
      </c>
      <c r="K697" s="32">
        <v>959181.6399999999</v>
      </c>
      <c r="L697" s="1"/>
    </row>
    <row r="698" spans="1:12" x14ac:dyDescent="0.25">
      <c r="A698" s="58">
        <v>46050</v>
      </c>
      <c r="B698" s="18">
        <v>0.875</v>
      </c>
      <c r="C698" s="19">
        <v>5.89</v>
      </c>
      <c r="D698" s="19">
        <v>81.64</v>
      </c>
      <c r="E698" s="19">
        <v>0.89</v>
      </c>
      <c r="F698" s="19">
        <v>11.48</v>
      </c>
      <c r="G698" s="20">
        <v>17.28</v>
      </c>
      <c r="H698" s="20">
        <v>14.67</v>
      </c>
      <c r="I698" s="20">
        <v>46.7</v>
      </c>
      <c r="J698" s="20">
        <v>925.99</v>
      </c>
      <c r="K698" s="32">
        <v>962936.52</v>
      </c>
      <c r="L698" s="1"/>
    </row>
    <row r="699" spans="1:12" x14ac:dyDescent="0.25">
      <c r="A699" s="58">
        <v>46050</v>
      </c>
      <c r="B699" s="18">
        <v>0.91666666666666663</v>
      </c>
      <c r="C699" s="19">
        <v>4.82</v>
      </c>
      <c r="D699" s="19">
        <v>82.54</v>
      </c>
      <c r="E699" s="19">
        <v>0.87</v>
      </c>
      <c r="F699" s="19">
        <v>17.84</v>
      </c>
      <c r="G699" s="20">
        <v>17.21</v>
      </c>
      <c r="H699" s="20">
        <v>14.68</v>
      </c>
      <c r="I699" s="20">
        <v>46.85</v>
      </c>
      <c r="J699" s="20">
        <v>925.67</v>
      </c>
      <c r="K699" s="32">
        <v>998479.66999999993</v>
      </c>
      <c r="L699" s="1"/>
    </row>
    <row r="700" spans="1:12" ht="15.75" thickBot="1" x14ac:dyDescent="0.3">
      <c r="A700" s="60">
        <v>46050</v>
      </c>
      <c r="B700" s="35">
        <v>0.95833333333333337</v>
      </c>
      <c r="C700" s="23">
        <v>4.4800000000000004</v>
      </c>
      <c r="D700" s="23">
        <v>84.07</v>
      </c>
      <c r="E700" s="23">
        <v>1</v>
      </c>
      <c r="F700" s="23">
        <v>15.71</v>
      </c>
      <c r="G700" s="24">
        <v>17.21</v>
      </c>
      <c r="H700" s="24">
        <v>14.67</v>
      </c>
      <c r="I700" s="24">
        <v>46.53</v>
      </c>
      <c r="J700" s="24">
        <v>925.28</v>
      </c>
      <c r="K700" s="36">
        <v>992391.7</v>
      </c>
      <c r="L700" s="1"/>
    </row>
    <row r="701" spans="1:12" ht="15.75" thickBot="1" x14ac:dyDescent="0.3">
      <c r="A701" s="26" t="s">
        <v>39</v>
      </c>
      <c r="B701" s="44"/>
      <c r="C701" s="45">
        <f t="shared" ref="C701:K701" si="27">IFERROR(ROUND(AVERAGE(C677:C700), 2), "")</f>
        <v>4.8099999999999996</v>
      </c>
      <c r="D701" s="45">
        <f t="shared" si="27"/>
        <v>80.010000000000005</v>
      </c>
      <c r="E701" s="45">
        <f t="shared" si="27"/>
        <v>1.78</v>
      </c>
      <c r="F701" s="45">
        <f t="shared" si="27"/>
        <v>15.45</v>
      </c>
      <c r="G701" s="45">
        <f t="shared" si="27"/>
        <v>17.29</v>
      </c>
      <c r="H701" s="45">
        <f t="shared" si="27"/>
        <v>14.55</v>
      </c>
      <c r="I701" s="45">
        <f t="shared" si="27"/>
        <v>45.22</v>
      </c>
      <c r="J701" s="45">
        <f t="shared" si="27"/>
        <v>928.98</v>
      </c>
      <c r="K701" s="46">
        <f t="shared" si="27"/>
        <v>988734.95</v>
      </c>
      <c r="L701" s="7"/>
    </row>
    <row r="702" spans="1:12" x14ac:dyDescent="0.25">
      <c r="A702" s="57">
        <v>46051</v>
      </c>
      <c r="B702" s="14">
        <v>0</v>
      </c>
      <c r="C702" s="15">
        <v>4.51</v>
      </c>
      <c r="D702" s="15">
        <v>84.91</v>
      </c>
      <c r="E702" s="15">
        <v>0.93</v>
      </c>
      <c r="F702" s="15">
        <v>13.67</v>
      </c>
      <c r="G702" s="15">
        <v>17.190000000000001</v>
      </c>
      <c r="H702" s="16">
        <v>14.67</v>
      </c>
      <c r="I702" s="16">
        <v>46.22</v>
      </c>
      <c r="J702" s="16">
        <v>924.88</v>
      </c>
      <c r="K702" s="17">
        <v>994115.37000000011</v>
      </c>
      <c r="L702" s="1"/>
    </row>
    <row r="703" spans="1:12" x14ac:dyDescent="0.25">
      <c r="A703" s="58">
        <v>46051</v>
      </c>
      <c r="B703" s="18">
        <v>4.1666666666666664E-2</v>
      </c>
      <c r="C703" s="19">
        <v>4.4400000000000004</v>
      </c>
      <c r="D703" s="19">
        <v>86.24</v>
      </c>
      <c r="E703" s="19">
        <v>1.0900000000000001</v>
      </c>
      <c r="F703" s="19">
        <v>11.88</v>
      </c>
      <c r="G703" s="19">
        <v>17.170000000000002</v>
      </c>
      <c r="H703" s="20">
        <v>14.67</v>
      </c>
      <c r="I703" s="20">
        <v>46.15</v>
      </c>
      <c r="J703" s="20">
        <v>924.66</v>
      </c>
      <c r="K703" s="21">
        <v>988172.66999999993</v>
      </c>
      <c r="L703" s="1"/>
    </row>
    <row r="704" spans="1:12" x14ac:dyDescent="0.25">
      <c r="A704" s="58">
        <v>46051</v>
      </c>
      <c r="B704" s="18">
        <v>8.3333333333333329E-2</v>
      </c>
      <c r="C704" s="19">
        <v>4.1100000000000003</v>
      </c>
      <c r="D704" s="19">
        <v>86.18</v>
      </c>
      <c r="E704" s="19">
        <v>1.05</v>
      </c>
      <c r="F704" s="19">
        <v>14.01</v>
      </c>
      <c r="G704" s="19">
        <v>17.16</v>
      </c>
      <c r="H704" s="20">
        <v>14.68</v>
      </c>
      <c r="I704" s="20">
        <v>46.18</v>
      </c>
      <c r="J704" s="20">
        <v>924.37</v>
      </c>
      <c r="K704" s="21">
        <v>985603.90999999992</v>
      </c>
      <c r="L704" s="1"/>
    </row>
    <row r="705" spans="1:12" x14ac:dyDescent="0.25">
      <c r="A705" s="58">
        <v>46051</v>
      </c>
      <c r="B705" s="18">
        <v>0.125</v>
      </c>
      <c r="C705" s="19">
        <v>4.5599999999999996</v>
      </c>
      <c r="D705" s="19">
        <v>89.75</v>
      </c>
      <c r="E705" s="19">
        <v>1.37</v>
      </c>
      <c r="F705" s="19">
        <v>4.24</v>
      </c>
      <c r="G705" s="19">
        <v>17.29</v>
      </c>
      <c r="H705" s="20">
        <v>14.66</v>
      </c>
      <c r="I705" s="20">
        <v>45.59</v>
      </c>
      <c r="J705" s="20">
        <v>924.11</v>
      </c>
      <c r="K705" s="21">
        <v>963367.6399999999</v>
      </c>
      <c r="L705" s="1"/>
    </row>
    <row r="706" spans="1:12" x14ac:dyDescent="0.25">
      <c r="A706" s="58">
        <v>46051</v>
      </c>
      <c r="B706" s="18">
        <v>0.16666666666666666</v>
      </c>
      <c r="C706" s="19">
        <v>3.92</v>
      </c>
      <c r="D706" s="19">
        <v>88.47</v>
      </c>
      <c r="E706" s="19">
        <v>1.81</v>
      </c>
      <c r="F706" s="19">
        <v>3.13</v>
      </c>
      <c r="G706" s="19">
        <v>17.28</v>
      </c>
      <c r="H706" s="20">
        <v>14.63</v>
      </c>
      <c r="I706" s="20">
        <v>44.97</v>
      </c>
      <c r="J706" s="20">
        <v>924.07</v>
      </c>
      <c r="K706" s="21">
        <v>957949.62999999989</v>
      </c>
      <c r="L706" s="1"/>
    </row>
    <row r="707" spans="1:12" x14ac:dyDescent="0.25">
      <c r="A707" s="58">
        <v>46051</v>
      </c>
      <c r="B707" s="18">
        <v>0.20833333333333334</v>
      </c>
      <c r="C707" s="19">
        <v>5.21</v>
      </c>
      <c r="D707" s="19">
        <v>88.67</v>
      </c>
      <c r="E707" s="19">
        <v>1.64</v>
      </c>
      <c r="F707" s="19">
        <v>5.13</v>
      </c>
      <c r="G707" s="19">
        <v>17.260000000000002</v>
      </c>
      <c r="H707" s="20">
        <v>14.63</v>
      </c>
      <c r="I707" s="20">
        <v>44.86</v>
      </c>
      <c r="J707" s="20">
        <v>923.55</v>
      </c>
      <c r="K707" s="21">
        <v>950547.73</v>
      </c>
      <c r="L707" s="1"/>
    </row>
    <row r="708" spans="1:12" x14ac:dyDescent="0.25">
      <c r="A708" s="58">
        <v>46051</v>
      </c>
      <c r="B708" s="18">
        <v>0.25</v>
      </c>
      <c r="C708" s="19">
        <v>4.25</v>
      </c>
      <c r="D708" s="19">
        <v>88.46</v>
      </c>
      <c r="E708" s="19">
        <v>1.74</v>
      </c>
      <c r="F708" s="19">
        <v>4.33</v>
      </c>
      <c r="G708" s="19">
        <v>17.28</v>
      </c>
      <c r="H708" s="20">
        <v>14.61</v>
      </c>
      <c r="I708" s="20">
        <v>44.44</v>
      </c>
      <c r="J708" s="20">
        <v>923.55</v>
      </c>
      <c r="K708" s="21">
        <v>949773.7</v>
      </c>
      <c r="L708" s="1"/>
    </row>
    <row r="709" spans="1:12" x14ac:dyDescent="0.25">
      <c r="A709" s="58">
        <v>46051</v>
      </c>
      <c r="B709" s="18">
        <v>0.29166666666666669</v>
      </c>
      <c r="C709" s="19">
        <v>4.7300000000000004</v>
      </c>
      <c r="D709" s="19">
        <v>84.46</v>
      </c>
      <c r="E709" s="19">
        <v>1.81</v>
      </c>
      <c r="F709" s="19">
        <v>3.55</v>
      </c>
      <c r="G709" s="19">
        <v>17.34</v>
      </c>
      <c r="H709" s="20">
        <v>14.57</v>
      </c>
      <c r="I709" s="20">
        <v>43.57</v>
      </c>
      <c r="J709" s="20">
        <v>923.81</v>
      </c>
      <c r="K709" s="21">
        <v>943012.32000000007</v>
      </c>
      <c r="L709" s="1"/>
    </row>
    <row r="710" spans="1:12" x14ac:dyDescent="0.25">
      <c r="A710" s="58">
        <v>46051</v>
      </c>
      <c r="B710" s="18">
        <v>0.33333333333333331</v>
      </c>
      <c r="C710" s="19">
        <v>5.72</v>
      </c>
      <c r="D710" s="19">
        <v>83.36</v>
      </c>
      <c r="E710" s="19">
        <v>1.03</v>
      </c>
      <c r="F710" s="19">
        <v>4.24</v>
      </c>
      <c r="G710" s="19">
        <v>17.3</v>
      </c>
      <c r="H710" s="20">
        <v>14.57</v>
      </c>
      <c r="I710" s="20">
        <v>43.72</v>
      </c>
      <c r="J710" s="20">
        <v>923.84</v>
      </c>
      <c r="K710" s="21">
        <v>920613.03</v>
      </c>
      <c r="L710" s="1"/>
    </row>
    <row r="711" spans="1:12" x14ac:dyDescent="0.25">
      <c r="A711" s="58">
        <v>46051</v>
      </c>
      <c r="B711" s="18">
        <v>0.375</v>
      </c>
      <c r="C711" s="19">
        <v>3.39</v>
      </c>
      <c r="D711" s="19">
        <v>82.13</v>
      </c>
      <c r="E711" s="19">
        <v>0.99</v>
      </c>
      <c r="F711" s="19">
        <v>4.6900000000000004</v>
      </c>
      <c r="G711" s="19">
        <v>17.28</v>
      </c>
      <c r="H711" s="20">
        <v>14.61</v>
      </c>
      <c r="I711" s="20">
        <v>44.64</v>
      </c>
      <c r="J711" s="20">
        <v>923.87</v>
      </c>
      <c r="K711" s="21">
        <v>905343.52</v>
      </c>
      <c r="L711" s="1"/>
    </row>
    <row r="712" spans="1:12" x14ac:dyDescent="0.25">
      <c r="A712" s="58">
        <v>46051</v>
      </c>
      <c r="B712" s="18">
        <v>0.41666666666666669</v>
      </c>
      <c r="C712" s="19">
        <v>4.17</v>
      </c>
      <c r="D712" s="19">
        <v>80.599999999999994</v>
      </c>
      <c r="E712" s="19">
        <v>1.05</v>
      </c>
      <c r="F712" s="19">
        <v>6.65</v>
      </c>
      <c r="G712" s="19">
        <v>17.25</v>
      </c>
      <c r="H712" s="20">
        <v>14.65</v>
      </c>
      <c r="I712" s="20">
        <v>45.49</v>
      </c>
      <c r="J712" s="20">
        <v>923.93</v>
      </c>
      <c r="K712" s="21">
        <v>910875.87000000011</v>
      </c>
      <c r="L712" s="1"/>
    </row>
    <row r="713" spans="1:12" x14ac:dyDescent="0.25">
      <c r="A713" s="58">
        <v>46051</v>
      </c>
      <c r="B713" s="18">
        <v>0.45833333333333331</v>
      </c>
      <c r="C713" s="19">
        <v>5.1100000000000003</v>
      </c>
      <c r="D713" s="19">
        <v>79.61</v>
      </c>
      <c r="E713" s="19">
        <v>1.73</v>
      </c>
      <c r="F713" s="19">
        <v>5.03</v>
      </c>
      <c r="G713" s="19">
        <v>17.3</v>
      </c>
      <c r="H713" s="20">
        <v>14.71</v>
      </c>
      <c r="I713" s="20">
        <v>46.78</v>
      </c>
      <c r="J713" s="20">
        <v>923.87</v>
      </c>
      <c r="K713" s="21">
        <v>923367.92999999993</v>
      </c>
      <c r="L713" s="1"/>
    </row>
    <row r="714" spans="1:12" x14ac:dyDescent="0.25">
      <c r="A714" s="58">
        <v>46051</v>
      </c>
      <c r="B714" s="18">
        <v>0.5</v>
      </c>
      <c r="C714" s="19">
        <v>4.42</v>
      </c>
      <c r="D714" s="19">
        <v>78.430000000000007</v>
      </c>
      <c r="E714" s="19">
        <v>1.88</v>
      </c>
      <c r="F714" s="19">
        <v>10.63</v>
      </c>
      <c r="G714" s="19">
        <v>17.309999999999999</v>
      </c>
      <c r="H714" s="20">
        <v>14.76</v>
      </c>
      <c r="I714" s="20">
        <v>47.7</v>
      </c>
      <c r="J714" s="20">
        <v>923.32</v>
      </c>
      <c r="K714" s="21">
        <v>915707.46</v>
      </c>
      <c r="L714" s="1"/>
    </row>
    <row r="715" spans="1:12" x14ac:dyDescent="0.25">
      <c r="A715" s="58">
        <v>46051</v>
      </c>
      <c r="B715" s="18">
        <v>0.54166666666666663</v>
      </c>
      <c r="C715" s="19">
        <v>4.87</v>
      </c>
      <c r="D715" s="19">
        <v>77.06</v>
      </c>
      <c r="E715" s="19">
        <v>2.54</v>
      </c>
      <c r="F715" s="19">
        <v>10.53</v>
      </c>
      <c r="G715" s="19">
        <v>17.32</v>
      </c>
      <c r="H715" s="20">
        <v>14.79</v>
      </c>
      <c r="I715" s="20">
        <v>48</v>
      </c>
      <c r="J715" s="20">
        <v>922.38</v>
      </c>
      <c r="K715" s="21">
        <v>928710.82000000007</v>
      </c>
      <c r="L715" s="1"/>
    </row>
    <row r="716" spans="1:12" x14ac:dyDescent="0.25">
      <c r="A716" s="58">
        <v>46051</v>
      </c>
      <c r="B716" s="18">
        <v>0.58333333333333337</v>
      </c>
      <c r="C716" s="19">
        <v>5.32</v>
      </c>
      <c r="D716" s="19">
        <v>76.989999999999995</v>
      </c>
      <c r="E716" s="19">
        <v>2.4</v>
      </c>
      <c r="F716" s="19">
        <v>8.98</v>
      </c>
      <c r="G716" s="19">
        <v>17.32</v>
      </c>
      <c r="H716" s="20">
        <v>14.81</v>
      </c>
      <c r="I716" s="20">
        <v>48.25</v>
      </c>
      <c r="J716" s="20">
        <v>921.75</v>
      </c>
      <c r="K716" s="21">
        <v>927070.62000000011</v>
      </c>
      <c r="L716" s="1"/>
    </row>
    <row r="717" spans="1:12" x14ac:dyDescent="0.25">
      <c r="A717" s="58">
        <v>46051</v>
      </c>
      <c r="B717" s="18">
        <v>0.625</v>
      </c>
      <c r="C717" s="19">
        <v>5.82</v>
      </c>
      <c r="D717" s="19">
        <v>76.989999999999995</v>
      </c>
      <c r="E717" s="19">
        <v>2.35</v>
      </c>
      <c r="F717" s="19">
        <v>10.57</v>
      </c>
      <c r="G717" s="19">
        <v>17.32</v>
      </c>
      <c r="H717" s="20">
        <v>14.83</v>
      </c>
      <c r="I717" s="20">
        <v>48.51</v>
      </c>
      <c r="J717" s="20">
        <v>921.63</v>
      </c>
      <c r="K717" s="21">
        <v>924501.54</v>
      </c>
      <c r="L717" s="1"/>
    </row>
    <row r="718" spans="1:12" x14ac:dyDescent="0.25">
      <c r="A718" s="58">
        <v>46051</v>
      </c>
      <c r="B718" s="18">
        <v>0.66666666666666663</v>
      </c>
      <c r="C718" s="19">
        <v>2.69</v>
      </c>
      <c r="D718" s="19">
        <v>76.94</v>
      </c>
      <c r="E718" s="19">
        <v>1.54</v>
      </c>
      <c r="F718" s="19">
        <v>11.4</v>
      </c>
      <c r="G718" s="19">
        <v>17.309999999999999</v>
      </c>
      <c r="H718" s="20">
        <v>14.83</v>
      </c>
      <c r="I718" s="20">
        <v>48.55</v>
      </c>
      <c r="J718" s="20">
        <v>921.76</v>
      </c>
      <c r="K718" s="21">
        <v>923131.22</v>
      </c>
      <c r="L718" s="1"/>
    </row>
    <row r="719" spans="1:12" x14ac:dyDescent="0.25">
      <c r="A719" s="58">
        <v>46051</v>
      </c>
      <c r="B719" s="18">
        <v>0.70833333333333337</v>
      </c>
      <c r="C719" s="19">
        <v>4.4400000000000004</v>
      </c>
      <c r="D719" s="19">
        <v>78.75</v>
      </c>
      <c r="E719" s="19">
        <v>2.3199999999999998</v>
      </c>
      <c r="F719" s="19">
        <v>6.98</v>
      </c>
      <c r="G719" s="19">
        <v>17.36</v>
      </c>
      <c r="H719" s="20">
        <v>14.79</v>
      </c>
      <c r="I719" s="20">
        <v>47.76</v>
      </c>
      <c r="J719" s="20">
        <v>921.61</v>
      </c>
      <c r="K719" s="21">
        <v>927197.53</v>
      </c>
      <c r="L719" s="1"/>
    </row>
    <row r="720" spans="1:12" x14ac:dyDescent="0.25">
      <c r="A720" s="58">
        <v>46051</v>
      </c>
      <c r="B720" s="18">
        <v>0.75</v>
      </c>
      <c r="C720" s="19">
        <v>3.57</v>
      </c>
      <c r="D720" s="19">
        <v>82.17</v>
      </c>
      <c r="E720" s="19">
        <v>2.4900000000000002</v>
      </c>
      <c r="F720" s="19">
        <v>6.69</v>
      </c>
      <c r="G720" s="19">
        <v>17.38</v>
      </c>
      <c r="H720" s="20">
        <v>14.72</v>
      </c>
      <c r="I720" s="20">
        <v>46.19</v>
      </c>
      <c r="J720" s="20">
        <v>921.6</v>
      </c>
      <c r="K720" s="21">
        <v>953677.04</v>
      </c>
      <c r="L720" s="1"/>
    </row>
    <row r="721" spans="1:12" x14ac:dyDescent="0.25">
      <c r="A721" s="58">
        <v>46051</v>
      </c>
      <c r="B721" s="18">
        <v>0.79166666666666663</v>
      </c>
      <c r="C721" s="19">
        <v>4.5999999999999996</v>
      </c>
      <c r="D721" s="19">
        <v>83.03</v>
      </c>
      <c r="E721" s="19">
        <v>2.2799999999999998</v>
      </c>
      <c r="F721" s="19">
        <v>6.61</v>
      </c>
      <c r="G721" s="19">
        <v>17.36</v>
      </c>
      <c r="H721" s="20">
        <v>14.68</v>
      </c>
      <c r="I721" s="20">
        <v>45.19</v>
      </c>
      <c r="J721" s="20">
        <v>921.29</v>
      </c>
      <c r="K721" s="21">
        <v>971792.82000000007</v>
      </c>
      <c r="L721" s="1"/>
    </row>
    <row r="722" spans="1:12" x14ac:dyDescent="0.25">
      <c r="A722" s="58">
        <v>46051</v>
      </c>
      <c r="B722" s="18">
        <v>0.83333333333333337</v>
      </c>
      <c r="C722" s="19">
        <v>4.04</v>
      </c>
      <c r="D722" s="19">
        <v>84.21</v>
      </c>
      <c r="E722" s="19">
        <v>1.66</v>
      </c>
      <c r="F722" s="19">
        <v>4.93</v>
      </c>
      <c r="G722" s="19">
        <v>17.37</v>
      </c>
      <c r="H722" s="20">
        <v>14.66</v>
      </c>
      <c r="I722" s="20">
        <v>44.67</v>
      </c>
      <c r="J722" s="20">
        <v>921.08</v>
      </c>
      <c r="K722" s="21">
        <v>988121.33000000007</v>
      </c>
      <c r="L722" s="1"/>
    </row>
    <row r="723" spans="1:12" x14ac:dyDescent="0.25">
      <c r="A723" s="58">
        <v>46051</v>
      </c>
      <c r="B723" s="18">
        <v>0.875</v>
      </c>
      <c r="C723" s="19">
        <v>6.25</v>
      </c>
      <c r="D723" s="19">
        <v>85.29</v>
      </c>
      <c r="E723" s="19">
        <v>1.58</v>
      </c>
      <c r="F723" s="19">
        <v>2.69</v>
      </c>
      <c r="G723" s="19">
        <v>17.34</v>
      </c>
      <c r="H723" s="20">
        <v>14.64</v>
      </c>
      <c r="I723" s="20">
        <v>44.33</v>
      </c>
      <c r="J723" s="20">
        <v>921.12</v>
      </c>
      <c r="K723" s="21">
        <v>988335.90999999992</v>
      </c>
      <c r="L723" s="1"/>
    </row>
    <row r="724" spans="1:12" x14ac:dyDescent="0.25">
      <c r="A724" s="58">
        <v>46051</v>
      </c>
      <c r="B724" s="18">
        <v>0.91666666666666663</v>
      </c>
      <c r="C724" s="19">
        <v>4.12</v>
      </c>
      <c r="D724" s="19">
        <v>84.38</v>
      </c>
      <c r="E724" s="19">
        <v>1.57</v>
      </c>
      <c r="F724" s="19">
        <v>3.81</v>
      </c>
      <c r="G724" s="19">
        <v>17.36</v>
      </c>
      <c r="H724" s="20">
        <v>14.63</v>
      </c>
      <c r="I724" s="20">
        <v>44.07</v>
      </c>
      <c r="J724" s="20">
        <v>921.54</v>
      </c>
      <c r="K724" s="21">
        <v>987837.62000000011</v>
      </c>
      <c r="L724" s="1"/>
    </row>
    <row r="725" spans="1:12" ht="15.75" thickBot="1" x14ac:dyDescent="0.3">
      <c r="A725" s="60">
        <v>46051</v>
      </c>
      <c r="B725" s="35">
        <v>0.95833333333333337</v>
      </c>
      <c r="C725" s="23">
        <v>4.28</v>
      </c>
      <c r="D725" s="23">
        <v>85.02</v>
      </c>
      <c r="E725" s="23">
        <v>1.33</v>
      </c>
      <c r="F725" s="23">
        <v>4.24</v>
      </c>
      <c r="G725" s="23">
        <v>17.350000000000001</v>
      </c>
      <c r="H725" s="24">
        <v>14.62</v>
      </c>
      <c r="I725" s="24">
        <v>43.96</v>
      </c>
      <c r="J725" s="24">
        <v>921.51</v>
      </c>
      <c r="K725" s="25">
        <v>976849.84000000008</v>
      </c>
      <c r="L725" s="1"/>
    </row>
    <row r="726" spans="1:12" ht="15.75" thickBot="1" x14ac:dyDescent="0.3">
      <c r="A726" s="26" t="s">
        <v>40</v>
      </c>
      <c r="B726" s="44"/>
      <c r="C726" s="45">
        <f t="shared" ref="C726:K726" si="28">IFERROR(ROUND(AVERAGE(C702:C725), 2), "")</f>
        <v>4.5199999999999996</v>
      </c>
      <c r="D726" s="45">
        <f t="shared" si="28"/>
        <v>83</v>
      </c>
      <c r="E726" s="45">
        <f t="shared" si="28"/>
        <v>1.67</v>
      </c>
      <c r="F726" s="45">
        <f t="shared" si="28"/>
        <v>7.03</v>
      </c>
      <c r="G726" s="45">
        <f t="shared" si="28"/>
        <v>17.3</v>
      </c>
      <c r="H726" s="45">
        <f t="shared" si="28"/>
        <v>14.68</v>
      </c>
      <c r="I726" s="45">
        <f t="shared" si="28"/>
        <v>45.82</v>
      </c>
      <c r="J726" s="45">
        <f t="shared" si="28"/>
        <v>922.88</v>
      </c>
      <c r="K726" s="46">
        <f t="shared" si="28"/>
        <v>950236.54</v>
      </c>
      <c r="L726" s="7"/>
    </row>
    <row r="727" spans="1:12" x14ac:dyDescent="0.25">
      <c r="A727" s="57">
        <v>46052</v>
      </c>
      <c r="B727" s="14">
        <v>0</v>
      </c>
      <c r="C727" s="15">
        <v>5.79</v>
      </c>
      <c r="D727" s="15">
        <v>84.93</v>
      </c>
      <c r="E727" s="15">
        <v>1.27</v>
      </c>
      <c r="F727" s="15">
        <v>2.93</v>
      </c>
      <c r="G727" s="15">
        <v>17.350000000000001</v>
      </c>
      <c r="H727" s="16">
        <v>14.62</v>
      </c>
      <c r="I727" s="16">
        <v>43.8</v>
      </c>
      <c r="J727" s="16">
        <v>921.11</v>
      </c>
      <c r="K727" s="17">
        <v>986280.55</v>
      </c>
      <c r="L727" s="2"/>
    </row>
    <row r="728" spans="1:12" x14ac:dyDescent="0.25">
      <c r="A728" s="58">
        <v>46052</v>
      </c>
      <c r="B728" s="18">
        <v>4.1666666666666664E-2</v>
      </c>
      <c r="C728" s="19">
        <v>4.24</v>
      </c>
      <c r="D728" s="19">
        <v>84.3</v>
      </c>
      <c r="E728" s="19">
        <v>1.41</v>
      </c>
      <c r="F728" s="19">
        <v>3.63</v>
      </c>
      <c r="G728" s="19">
        <v>17.34</v>
      </c>
      <c r="H728" s="20">
        <v>14.61</v>
      </c>
      <c r="I728" s="20">
        <v>43.58</v>
      </c>
      <c r="J728" s="20">
        <v>920.91</v>
      </c>
      <c r="K728" s="21">
        <v>982694.87999999989</v>
      </c>
      <c r="L728" s="2"/>
    </row>
    <row r="729" spans="1:12" x14ac:dyDescent="0.25">
      <c r="A729" s="58">
        <v>46052</v>
      </c>
      <c r="B729" s="18">
        <v>8.3333333333333329E-2</v>
      </c>
      <c r="C729" s="19">
        <v>3.2</v>
      </c>
      <c r="D729" s="19">
        <v>83.82</v>
      </c>
      <c r="E729" s="19">
        <v>1.28</v>
      </c>
      <c r="F729" s="19">
        <v>4.3499999999999996</v>
      </c>
      <c r="G729" s="19">
        <v>17.329999999999998</v>
      </c>
      <c r="H729" s="20">
        <v>14.61</v>
      </c>
      <c r="I729" s="20">
        <v>43.6</v>
      </c>
      <c r="J729" s="20">
        <v>920.97</v>
      </c>
      <c r="K729" s="21">
        <v>988075.60000000009</v>
      </c>
      <c r="L729" s="2"/>
    </row>
    <row r="730" spans="1:12" x14ac:dyDescent="0.25">
      <c r="A730" s="58">
        <v>46052</v>
      </c>
      <c r="B730" s="18">
        <v>0.125</v>
      </c>
      <c r="C730" s="19">
        <v>5.61</v>
      </c>
      <c r="D730" s="19">
        <v>82.95</v>
      </c>
      <c r="E730" s="19">
        <v>1.42</v>
      </c>
      <c r="F730" s="19">
        <v>4.8899999999999997</v>
      </c>
      <c r="G730" s="19">
        <v>17.32</v>
      </c>
      <c r="H730" s="20">
        <v>14.61</v>
      </c>
      <c r="I730" s="20">
        <v>43.7</v>
      </c>
      <c r="J730" s="20">
        <v>921.31</v>
      </c>
      <c r="K730" s="21">
        <v>964451.57000000007</v>
      </c>
      <c r="L730" s="2"/>
    </row>
    <row r="731" spans="1:12" x14ac:dyDescent="0.25">
      <c r="A731" s="58">
        <v>46052</v>
      </c>
      <c r="B731" s="18">
        <v>0.16666666666666666</v>
      </c>
      <c r="C731" s="19">
        <v>5.99</v>
      </c>
      <c r="D731" s="19">
        <v>83.24</v>
      </c>
      <c r="E731" s="19">
        <v>1.24</v>
      </c>
      <c r="F731" s="19">
        <v>3.62</v>
      </c>
      <c r="G731" s="19">
        <v>17.350000000000001</v>
      </c>
      <c r="H731" s="20">
        <v>14.61</v>
      </c>
      <c r="I731" s="20">
        <v>43.69</v>
      </c>
      <c r="J731" s="20">
        <v>921.72</v>
      </c>
      <c r="K731" s="21">
        <v>960848.69</v>
      </c>
      <c r="L731" s="2"/>
    </row>
    <row r="732" spans="1:12" x14ac:dyDescent="0.25">
      <c r="A732" s="58">
        <v>46052</v>
      </c>
      <c r="B732" s="18">
        <v>0.20833333333333334</v>
      </c>
      <c r="C732" s="19">
        <v>6.59</v>
      </c>
      <c r="D732" s="19">
        <v>83.48</v>
      </c>
      <c r="E732" s="19">
        <v>1.07</v>
      </c>
      <c r="F732" s="19">
        <v>3.85</v>
      </c>
      <c r="G732" s="19">
        <v>17.350000000000001</v>
      </c>
      <c r="H732" s="20">
        <v>14.59</v>
      </c>
      <c r="I732" s="20">
        <v>43.41</v>
      </c>
      <c r="J732" s="20">
        <v>921.94</v>
      </c>
      <c r="K732" s="21">
        <v>951997.82000000007</v>
      </c>
      <c r="L732" s="2"/>
    </row>
    <row r="733" spans="1:12" x14ac:dyDescent="0.25">
      <c r="A733" s="58">
        <v>46052</v>
      </c>
      <c r="B733" s="18">
        <v>0.25</v>
      </c>
      <c r="C733" s="19">
        <v>6.15</v>
      </c>
      <c r="D733" s="19">
        <v>82.33</v>
      </c>
      <c r="E733" s="19">
        <v>1.03</v>
      </c>
      <c r="F733" s="19">
        <v>5.65</v>
      </c>
      <c r="G733" s="19">
        <v>17.38</v>
      </c>
      <c r="H733" s="20">
        <v>14.58</v>
      </c>
      <c r="I733" s="20">
        <v>43.27</v>
      </c>
      <c r="J733" s="20">
        <v>922.26</v>
      </c>
      <c r="K733" s="21">
        <v>950396.03</v>
      </c>
      <c r="L733" s="2"/>
    </row>
    <row r="734" spans="1:12" x14ac:dyDescent="0.25">
      <c r="A734" s="58">
        <v>46052</v>
      </c>
      <c r="B734" s="18">
        <v>0.29166666666666669</v>
      </c>
      <c r="C734" s="19">
        <v>4.29</v>
      </c>
      <c r="D734" s="19">
        <v>81.819999999999993</v>
      </c>
      <c r="E734" s="19">
        <v>1.17</v>
      </c>
      <c r="F734" s="19">
        <v>4.25</v>
      </c>
      <c r="G734" s="19">
        <v>17.38</v>
      </c>
      <c r="H734" s="20">
        <v>14.56</v>
      </c>
      <c r="I734" s="20">
        <v>43.04</v>
      </c>
      <c r="J734" s="20">
        <v>923.09</v>
      </c>
      <c r="K734" s="21">
        <v>965259.37000000011</v>
      </c>
      <c r="L734" s="2"/>
    </row>
    <row r="735" spans="1:12" x14ac:dyDescent="0.25">
      <c r="A735" s="58">
        <v>46052</v>
      </c>
      <c r="B735" s="18">
        <v>0.33333333333333331</v>
      </c>
      <c r="C735" s="19">
        <v>4.5199999999999996</v>
      </c>
      <c r="D735" s="19">
        <v>81.430000000000007</v>
      </c>
      <c r="E735" s="19">
        <v>1.71</v>
      </c>
      <c r="F735" s="19">
        <v>6.53</v>
      </c>
      <c r="G735" s="19">
        <v>17.41</v>
      </c>
      <c r="H735" s="20">
        <v>14.53</v>
      </c>
      <c r="I735" s="20">
        <v>42.68</v>
      </c>
      <c r="J735" s="20">
        <v>923.7</v>
      </c>
      <c r="K735" s="21">
        <v>966662.53</v>
      </c>
      <c r="L735" s="2"/>
    </row>
    <row r="736" spans="1:12" x14ac:dyDescent="0.25">
      <c r="A736" s="58">
        <v>46052</v>
      </c>
      <c r="B736" s="18">
        <v>0.375</v>
      </c>
      <c r="C736" s="19">
        <v>4.3499999999999996</v>
      </c>
      <c r="D736" s="19">
        <v>80.77</v>
      </c>
      <c r="E736" s="19">
        <v>1.93</v>
      </c>
      <c r="F736" s="19">
        <v>5.74</v>
      </c>
      <c r="G736" s="19">
        <v>17.43</v>
      </c>
      <c r="H736" s="20">
        <v>14.52</v>
      </c>
      <c r="I736" s="20">
        <v>42.75</v>
      </c>
      <c r="J736" s="20">
        <v>924.13</v>
      </c>
      <c r="K736" s="21">
        <v>976524.95</v>
      </c>
      <c r="L736" s="2"/>
    </row>
    <row r="737" spans="1:12" x14ac:dyDescent="0.25">
      <c r="A737" s="58">
        <v>46052</v>
      </c>
      <c r="B737" s="18">
        <v>0.41666666666666669</v>
      </c>
      <c r="C737" s="19">
        <v>4.3499999999999996</v>
      </c>
      <c r="D737" s="19">
        <v>81.31</v>
      </c>
      <c r="E737" s="19">
        <v>1.71</v>
      </c>
      <c r="F737" s="19">
        <v>5.85</v>
      </c>
      <c r="G737" s="19">
        <v>17.420000000000002</v>
      </c>
      <c r="H737" s="20">
        <v>14.54</v>
      </c>
      <c r="I737" s="20">
        <v>43.19</v>
      </c>
      <c r="J737" s="20">
        <v>924.5</v>
      </c>
      <c r="K737" s="21">
        <v>972728.14999999991</v>
      </c>
      <c r="L737" s="2"/>
    </row>
    <row r="738" spans="1:12" x14ac:dyDescent="0.25">
      <c r="A738" s="58">
        <v>46052</v>
      </c>
      <c r="B738" s="18">
        <v>0.45833333333333331</v>
      </c>
      <c r="C738" s="19">
        <v>6.25</v>
      </c>
      <c r="D738" s="19">
        <v>81.02</v>
      </c>
      <c r="E738" s="19">
        <v>1.63</v>
      </c>
      <c r="F738" s="19">
        <v>3.91</v>
      </c>
      <c r="G738" s="19">
        <v>17.43</v>
      </c>
      <c r="H738" s="20">
        <v>14.56</v>
      </c>
      <c r="I738" s="20">
        <v>43.73</v>
      </c>
      <c r="J738" s="20">
        <v>924.59</v>
      </c>
      <c r="K738" s="21">
        <v>957736.32000000007</v>
      </c>
      <c r="L738" s="2"/>
    </row>
    <row r="739" spans="1:12" x14ac:dyDescent="0.25">
      <c r="A739" s="58">
        <v>46052</v>
      </c>
      <c r="B739" s="18">
        <v>0.5</v>
      </c>
      <c r="C739" s="19">
        <v>5.2</v>
      </c>
      <c r="D739" s="19">
        <v>79.84</v>
      </c>
      <c r="E739" s="19">
        <v>2.13</v>
      </c>
      <c r="F739" s="19">
        <v>4.95</v>
      </c>
      <c r="G739" s="19">
        <v>17.399999999999999</v>
      </c>
      <c r="H739" s="20">
        <v>14.56</v>
      </c>
      <c r="I739" s="20">
        <v>43.83</v>
      </c>
      <c r="J739" s="20">
        <v>924.73</v>
      </c>
      <c r="K739" s="21">
        <v>961815.72</v>
      </c>
      <c r="L739" s="2"/>
    </row>
    <row r="740" spans="1:12" x14ac:dyDescent="0.25">
      <c r="A740" s="58">
        <v>46052</v>
      </c>
      <c r="B740" s="18">
        <v>0.54166666666666663</v>
      </c>
      <c r="C740" s="19">
        <v>3.1</v>
      </c>
      <c r="D740" s="19">
        <v>79.040000000000006</v>
      </c>
      <c r="E740" s="19">
        <v>2.4</v>
      </c>
      <c r="F740" s="19">
        <v>8.4600000000000009</v>
      </c>
      <c r="G740" s="19">
        <v>17.41</v>
      </c>
      <c r="H740" s="20">
        <v>14.56</v>
      </c>
      <c r="I740" s="20">
        <v>43.87</v>
      </c>
      <c r="J740" s="20">
        <v>924.76</v>
      </c>
      <c r="K740" s="21">
        <v>962133.35000000009</v>
      </c>
      <c r="L740" s="2"/>
    </row>
    <row r="741" spans="1:12" x14ac:dyDescent="0.25">
      <c r="A741" s="58">
        <v>46052</v>
      </c>
      <c r="B741" s="18">
        <v>0.58333333333333337</v>
      </c>
      <c r="C741" s="19">
        <v>5.62</v>
      </c>
      <c r="D741" s="19">
        <v>79.48</v>
      </c>
      <c r="E741" s="19">
        <v>2.04</v>
      </c>
      <c r="F741" s="19">
        <v>6.26</v>
      </c>
      <c r="G741" s="19">
        <v>17.43</v>
      </c>
      <c r="H741" s="20">
        <v>14.57</v>
      </c>
      <c r="I741" s="20">
        <v>43.97</v>
      </c>
      <c r="J741" s="20">
        <v>924.98</v>
      </c>
      <c r="K741" s="21">
        <v>963382.32000000007</v>
      </c>
      <c r="L741" s="2"/>
    </row>
    <row r="742" spans="1:12" x14ac:dyDescent="0.25">
      <c r="A742" s="58">
        <v>46052</v>
      </c>
      <c r="B742" s="18">
        <v>0.625</v>
      </c>
      <c r="C742" s="19">
        <v>4.87</v>
      </c>
      <c r="D742" s="19">
        <v>77.989999999999995</v>
      </c>
      <c r="E742" s="19">
        <v>1.79</v>
      </c>
      <c r="F742" s="19">
        <v>14.25</v>
      </c>
      <c r="G742" s="19">
        <v>17.350000000000001</v>
      </c>
      <c r="H742" s="20">
        <v>14.56</v>
      </c>
      <c r="I742" s="20">
        <v>44.14</v>
      </c>
      <c r="J742" s="20">
        <v>925.43</v>
      </c>
      <c r="K742" s="21">
        <v>965594.08000000007</v>
      </c>
      <c r="L742" s="2"/>
    </row>
    <row r="743" spans="1:12" x14ac:dyDescent="0.25">
      <c r="A743" s="58">
        <v>46052</v>
      </c>
      <c r="B743" s="18">
        <v>0.66666666666666663</v>
      </c>
      <c r="C743" s="19">
        <v>3.24</v>
      </c>
      <c r="D743" s="19">
        <v>78.02</v>
      </c>
      <c r="E743" s="19">
        <v>1.86</v>
      </c>
      <c r="F743" s="19">
        <v>11.95</v>
      </c>
      <c r="G743" s="19">
        <v>17.350000000000001</v>
      </c>
      <c r="H743" s="20">
        <v>14.56</v>
      </c>
      <c r="I743" s="20">
        <v>44.09</v>
      </c>
      <c r="J743" s="20">
        <v>925.83</v>
      </c>
      <c r="K743" s="21">
        <v>963931.96</v>
      </c>
      <c r="L743" s="2"/>
    </row>
    <row r="744" spans="1:12" x14ac:dyDescent="0.25">
      <c r="A744" s="58">
        <v>46052</v>
      </c>
      <c r="B744" s="18">
        <v>0.70833333333333337</v>
      </c>
      <c r="C744" s="19">
        <v>4.71</v>
      </c>
      <c r="D744" s="19">
        <v>77.900000000000006</v>
      </c>
      <c r="E744" s="19">
        <v>1.9</v>
      </c>
      <c r="F744" s="19">
        <v>12.44</v>
      </c>
      <c r="G744" s="19">
        <v>17.34</v>
      </c>
      <c r="H744" s="20">
        <v>14.55</v>
      </c>
      <c r="I744" s="20">
        <v>44.13</v>
      </c>
      <c r="J744" s="20">
        <v>926.26</v>
      </c>
      <c r="K744" s="21">
        <v>962297.02</v>
      </c>
      <c r="L744" s="2"/>
    </row>
    <row r="745" spans="1:12" x14ac:dyDescent="0.25">
      <c r="A745" s="58">
        <v>46052</v>
      </c>
      <c r="B745" s="18">
        <v>0.75</v>
      </c>
      <c r="C745" s="19">
        <v>5.32</v>
      </c>
      <c r="D745" s="19">
        <v>78.66</v>
      </c>
      <c r="E745" s="19">
        <v>1.43</v>
      </c>
      <c r="F745" s="19">
        <v>11.64</v>
      </c>
      <c r="G745" s="19">
        <v>17.37</v>
      </c>
      <c r="H745" s="20">
        <v>14.54</v>
      </c>
      <c r="I745" s="20">
        <v>43.87</v>
      </c>
      <c r="J745" s="20">
        <v>926.69</v>
      </c>
      <c r="K745" s="21">
        <v>969878.06</v>
      </c>
      <c r="L745" s="2"/>
    </row>
    <row r="746" spans="1:12" x14ac:dyDescent="0.25">
      <c r="A746" s="58">
        <v>46052</v>
      </c>
      <c r="B746" s="18">
        <v>0.79166666666666663</v>
      </c>
      <c r="C746" s="19">
        <v>4.63</v>
      </c>
      <c r="D746" s="19">
        <v>78.22</v>
      </c>
      <c r="E746" s="19">
        <v>1.3</v>
      </c>
      <c r="F746" s="19">
        <v>10.71</v>
      </c>
      <c r="G746" s="19">
        <v>17.38</v>
      </c>
      <c r="H746" s="20">
        <v>14.52</v>
      </c>
      <c r="I746" s="20">
        <v>43.6</v>
      </c>
      <c r="J746" s="20">
        <v>926.89</v>
      </c>
      <c r="K746" s="21">
        <v>976604.89999999991</v>
      </c>
      <c r="L746" s="2"/>
    </row>
    <row r="747" spans="1:12" x14ac:dyDescent="0.25">
      <c r="A747" s="58">
        <v>46052</v>
      </c>
      <c r="B747" s="18">
        <v>0.83333333333333337</v>
      </c>
      <c r="C747" s="19">
        <v>5.13</v>
      </c>
      <c r="D747" s="19">
        <v>78.7</v>
      </c>
      <c r="E747" s="19">
        <v>1.4</v>
      </c>
      <c r="F747" s="19">
        <v>11.45</v>
      </c>
      <c r="G747" s="19">
        <v>17.38</v>
      </c>
      <c r="H747" s="20">
        <v>14.51</v>
      </c>
      <c r="I747" s="20">
        <v>43.4</v>
      </c>
      <c r="J747" s="20">
        <v>927.03</v>
      </c>
      <c r="K747" s="21">
        <v>971866.97</v>
      </c>
      <c r="L747" s="2"/>
    </row>
    <row r="748" spans="1:12" x14ac:dyDescent="0.25">
      <c r="A748" s="58">
        <v>46052</v>
      </c>
      <c r="B748" s="18">
        <v>0.875</v>
      </c>
      <c r="C748" s="19">
        <v>4.32</v>
      </c>
      <c r="D748" s="19">
        <v>79.3</v>
      </c>
      <c r="E748" s="19">
        <v>1.32</v>
      </c>
      <c r="F748" s="19">
        <v>9.33</v>
      </c>
      <c r="G748" s="19">
        <v>17.41</v>
      </c>
      <c r="H748" s="20">
        <v>14.5</v>
      </c>
      <c r="I748" s="20">
        <v>43.29</v>
      </c>
      <c r="J748" s="20">
        <v>927.36</v>
      </c>
      <c r="K748" s="21">
        <v>974325.72</v>
      </c>
      <c r="L748" s="2"/>
    </row>
    <row r="749" spans="1:12" x14ac:dyDescent="0.25">
      <c r="A749" s="58">
        <v>46052</v>
      </c>
      <c r="B749" s="18">
        <v>0.91666666666666663</v>
      </c>
      <c r="C749" s="19">
        <v>2.29</v>
      </c>
      <c r="D749" s="19">
        <v>79.709999999999994</v>
      </c>
      <c r="E749" s="19">
        <v>1.54</v>
      </c>
      <c r="F749" s="19">
        <v>9.24</v>
      </c>
      <c r="G749" s="19">
        <v>17.420000000000002</v>
      </c>
      <c r="H749" s="20">
        <v>14.49</v>
      </c>
      <c r="I749" s="20">
        <v>43.15</v>
      </c>
      <c r="J749" s="20">
        <v>927.8</v>
      </c>
      <c r="K749" s="21">
        <v>975316.12000000011</v>
      </c>
      <c r="L749" s="2"/>
    </row>
    <row r="750" spans="1:12" ht="15.75" thickBot="1" x14ac:dyDescent="0.3">
      <c r="A750" s="60">
        <v>46052</v>
      </c>
      <c r="B750" s="35">
        <v>0.95833333333333337</v>
      </c>
      <c r="C750" s="23">
        <v>3.88</v>
      </c>
      <c r="D750" s="23">
        <v>86.52</v>
      </c>
      <c r="E750" s="23">
        <v>2.37</v>
      </c>
      <c r="F750" s="23">
        <v>2.5099999999999998</v>
      </c>
      <c r="G750" s="23">
        <v>17.48</v>
      </c>
      <c r="H750" s="24">
        <v>14.45</v>
      </c>
      <c r="I750" s="24">
        <v>42.51</v>
      </c>
      <c r="J750" s="24">
        <v>928.19</v>
      </c>
      <c r="K750" s="25">
        <v>983551.57000000007</v>
      </c>
      <c r="L750" s="2"/>
    </row>
    <row r="751" spans="1:12" ht="15.75" thickBot="1" x14ac:dyDescent="0.3">
      <c r="A751" s="26" t="s">
        <v>41</v>
      </c>
      <c r="B751" s="44"/>
      <c r="C751" s="45">
        <f t="shared" ref="C751:K751" si="29">IFERROR(ROUND(AVERAGE(C727:C750), 2), "")</f>
        <v>4.74</v>
      </c>
      <c r="D751" s="45">
        <f t="shared" si="29"/>
        <v>81.03</v>
      </c>
      <c r="E751" s="45">
        <f t="shared" si="29"/>
        <v>1.6</v>
      </c>
      <c r="F751" s="45">
        <f t="shared" si="29"/>
        <v>7.02</v>
      </c>
      <c r="G751" s="45">
        <f t="shared" si="29"/>
        <v>17.38</v>
      </c>
      <c r="H751" s="45">
        <f t="shared" si="29"/>
        <v>14.55</v>
      </c>
      <c r="I751" s="45">
        <f t="shared" si="29"/>
        <v>43.51</v>
      </c>
      <c r="J751" s="45">
        <f t="shared" si="29"/>
        <v>924.42</v>
      </c>
      <c r="K751" s="46">
        <f t="shared" si="29"/>
        <v>968931.43</v>
      </c>
      <c r="L751" s="7"/>
    </row>
    <row r="752" spans="1:12" x14ac:dyDescent="0.25">
      <c r="A752" s="57">
        <v>46053</v>
      </c>
      <c r="B752" s="14">
        <v>0</v>
      </c>
      <c r="C752" s="15">
        <v>5.22</v>
      </c>
      <c r="D752" s="15">
        <v>87.26</v>
      </c>
      <c r="E752" s="15">
        <v>2.2200000000000002</v>
      </c>
      <c r="F752" s="15">
        <v>1.19</v>
      </c>
      <c r="G752" s="15">
        <v>17.47</v>
      </c>
      <c r="H752" s="16">
        <v>14.41</v>
      </c>
      <c r="I752" s="16">
        <v>41.84</v>
      </c>
      <c r="J752" s="16">
        <v>928.48</v>
      </c>
      <c r="K752" s="17">
        <v>985315.26</v>
      </c>
      <c r="L752" s="2"/>
    </row>
    <row r="753" spans="1:12" x14ac:dyDescent="0.25">
      <c r="A753" s="58">
        <v>46053</v>
      </c>
      <c r="B753" s="18">
        <v>4.1666666666666664E-2</v>
      </c>
      <c r="C753" s="19">
        <v>4.49</v>
      </c>
      <c r="D753" s="19">
        <v>88.76</v>
      </c>
      <c r="E753" s="19">
        <v>1.77</v>
      </c>
      <c r="F753" s="19">
        <v>1.6</v>
      </c>
      <c r="G753" s="19">
        <v>17.5</v>
      </c>
      <c r="H753" s="20">
        <v>14.4</v>
      </c>
      <c r="I753" s="20">
        <v>41.66</v>
      </c>
      <c r="J753" s="20">
        <v>928.7</v>
      </c>
      <c r="K753" s="21">
        <v>993924.21</v>
      </c>
      <c r="L753" s="2"/>
    </row>
    <row r="754" spans="1:12" x14ac:dyDescent="0.25">
      <c r="A754" s="58">
        <v>46053</v>
      </c>
      <c r="B754" s="18">
        <v>8.3333333333333329E-2</v>
      </c>
      <c r="C754" s="19">
        <v>4.83</v>
      </c>
      <c r="D754" s="19">
        <v>89.39</v>
      </c>
      <c r="E754" s="19">
        <v>1.68</v>
      </c>
      <c r="F754" s="19">
        <v>1.43</v>
      </c>
      <c r="G754" s="19">
        <v>17.48</v>
      </c>
      <c r="H754" s="20">
        <v>14.39</v>
      </c>
      <c r="I754" s="20">
        <v>41.45</v>
      </c>
      <c r="J754" s="20">
        <v>928.93</v>
      </c>
      <c r="K754" s="21">
        <v>995586.52</v>
      </c>
      <c r="L754" s="2"/>
    </row>
    <row r="755" spans="1:12" x14ac:dyDescent="0.25">
      <c r="A755" s="58">
        <v>46053</v>
      </c>
      <c r="B755" s="18">
        <v>0.125</v>
      </c>
      <c r="C755" s="19">
        <v>5.42</v>
      </c>
      <c r="D755" s="19">
        <v>89.44</v>
      </c>
      <c r="E755" s="19">
        <v>1.57</v>
      </c>
      <c r="F755" s="19">
        <v>1.31</v>
      </c>
      <c r="G755" s="19">
        <v>17.489999999999998</v>
      </c>
      <c r="H755" s="20">
        <v>14.38</v>
      </c>
      <c r="I755" s="20">
        <v>41.21</v>
      </c>
      <c r="J755" s="20">
        <v>929.07</v>
      </c>
      <c r="K755" s="21">
        <v>988477.99</v>
      </c>
      <c r="L755" s="2"/>
    </row>
    <row r="756" spans="1:12" x14ac:dyDescent="0.25">
      <c r="A756" s="58">
        <v>46053</v>
      </c>
      <c r="B756" s="18">
        <v>0.16666666666666666</v>
      </c>
      <c r="C756" s="19">
        <v>2.52</v>
      </c>
      <c r="D756" s="19">
        <v>89.46</v>
      </c>
      <c r="E756" s="19">
        <v>1.73</v>
      </c>
      <c r="F756" s="19">
        <v>1.26</v>
      </c>
      <c r="G756" s="19">
        <v>17.489999999999998</v>
      </c>
      <c r="H756" s="20">
        <v>14.37</v>
      </c>
      <c r="I756" s="20">
        <v>41.02</v>
      </c>
      <c r="J756" s="20">
        <v>929.16</v>
      </c>
      <c r="K756" s="21">
        <v>992582.44</v>
      </c>
      <c r="L756" s="2"/>
    </row>
    <row r="757" spans="1:12" x14ac:dyDescent="0.25">
      <c r="A757" s="58">
        <v>46053</v>
      </c>
      <c r="B757" s="18">
        <v>0.20833333333333334</v>
      </c>
      <c r="C757" s="19">
        <v>5.45</v>
      </c>
      <c r="D757" s="19">
        <v>89.59</v>
      </c>
      <c r="E757" s="19">
        <v>1.53</v>
      </c>
      <c r="F757" s="19">
        <v>1.33</v>
      </c>
      <c r="G757" s="19">
        <v>17.489999999999998</v>
      </c>
      <c r="H757" s="20">
        <v>14.35</v>
      </c>
      <c r="I757" s="20">
        <v>40.64</v>
      </c>
      <c r="J757" s="20">
        <v>929.33</v>
      </c>
      <c r="K757" s="21">
        <v>1003179.3200000001</v>
      </c>
      <c r="L757" s="2"/>
    </row>
    <row r="758" spans="1:12" x14ac:dyDescent="0.25">
      <c r="A758" s="58">
        <v>46053</v>
      </c>
      <c r="B758" s="18">
        <v>0.25</v>
      </c>
      <c r="C758" s="19">
        <v>5.7</v>
      </c>
      <c r="D758" s="19">
        <v>88.38</v>
      </c>
      <c r="E758" s="19">
        <v>1.62</v>
      </c>
      <c r="F758" s="19">
        <v>1.49</v>
      </c>
      <c r="G758" s="19">
        <v>17.5</v>
      </c>
      <c r="H758" s="20">
        <v>14.33</v>
      </c>
      <c r="I758" s="20">
        <v>40.25</v>
      </c>
      <c r="J758" s="20">
        <v>929.6</v>
      </c>
      <c r="K758" s="21">
        <v>999352.60000000009</v>
      </c>
      <c r="L758" s="2"/>
    </row>
    <row r="759" spans="1:12" x14ac:dyDescent="0.25">
      <c r="A759" s="58">
        <v>46053</v>
      </c>
      <c r="B759" s="18">
        <v>0.29166666666666669</v>
      </c>
      <c r="C759" s="19">
        <v>6.36</v>
      </c>
      <c r="D759" s="19">
        <v>88.57</v>
      </c>
      <c r="E759" s="19">
        <v>1.74</v>
      </c>
      <c r="F759" s="19">
        <v>1.77</v>
      </c>
      <c r="G759" s="19">
        <v>17.48</v>
      </c>
      <c r="H759" s="20">
        <v>14.31</v>
      </c>
      <c r="I759" s="20">
        <v>39.99</v>
      </c>
      <c r="J759" s="20">
        <v>930.04</v>
      </c>
      <c r="K759" s="21">
        <v>1002348.1399999999</v>
      </c>
      <c r="L759" s="2"/>
    </row>
    <row r="760" spans="1:12" x14ac:dyDescent="0.25">
      <c r="A760" s="58">
        <v>46053</v>
      </c>
      <c r="B760" s="18">
        <v>0.33333333333333331</v>
      </c>
      <c r="C760" s="19">
        <v>3.46</v>
      </c>
      <c r="D760" s="19">
        <v>87.88</v>
      </c>
      <c r="E760" s="19">
        <v>2.21</v>
      </c>
      <c r="F760" s="19">
        <v>2.76</v>
      </c>
      <c r="G760" s="19">
        <v>17.5</v>
      </c>
      <c r="H760" s="20">
        <v>14.29</v>
      </c>
      <c r="I760" s="20">
        <v>39.82</v>
      </c>
      <c r="J760" s="20">
        <v>930.68</v>
      </c>
      <c r="K760" s="21">
        <v>1008326.8200000001</v>
      </c>
      <c r="L760" s="2"/>
    </row>
    <row r="761" spans="1:12" x14ac:dyDescent="0.25">
      <c r="A761" s="58">
        <v>46053</v>
      </c>
      <c r="B761" s="18">
        <v>0.375</v>
      </c>
      <c r="C761" s="19">
        <v>4.26</v>
      </c>
      <c r="D761" s="19">
        <v>88.08</v>
      </c>
      <c r="E761" s="19">
        <v>2.8</v>
      </c>
      <c r="F761" s="19">
        <v>3.69</v>
      </c>
      <c r="G761" s="19">
        <v>17.48</v>
      </c>
      <c r="H761" s="20">
        <v>14.27</v>
      </c>
      <c r="I761" s="20">
        <v>39.6</v>
      </c>
      <c r="J761" s="20">
        <v>931.38</v>
      </c>
      <c r="K761" s="21">
        <v>1012493.01</v>
      </c>
      <c r="L761" s="2"/>
    </row>
    <row r="762" spans="1:12" x14ac:dyDescent="0.25">
      <c r="A762" s="58">
        <v>46053</v>
      </c>
      <c r="B762" s="18">
        <v>0.41666666666666669</v>
      </c>
      <c r="C762" s="19">
        <v>5.71</v>
      </c>
      <c r="D762" s="19">
        <v>88.61</v>
      </c>
      <c r="E762" s="19">
        <v>2.78</v>
      </c>
      <c r="F762" s="19">
        <v>2.38</v>
      </c>
      <c r="G762" s="19">
        <v>17.48</v>
      </c>
      <c r="H762" s="20">
        <v>14.25</v>
      </c>
      <c r="I762" s="20">
        <v>39.49</v>
      </c>
      <c r="J762" s="20">
        <v>931.78</v>
      </c>
      <c r="K762" s="21">
        <v>1016580.44</v>
      </c>
      <c r="L762" s="2"/>
    </row>
    <row r="763" spans="1:12" x14ac:dyDescent="0.25">
      <c r="A763" s="58">
        <v>46053</v>
      </c>
      <c r="B763" s="18">
        <v>0.45833333333333331</v>
      </c>
      <c r="C763" s="19">
        <v>105</v>
      </c>
      <c r="D763" s="19">
        <v>87.76</v>
      </c>
      <c r="E763" s="19">
        <v>2.2999999999999998</v>
      </c>
      <c r="F763" s="19">
        <v>2.25</v>
      </c>
      <c r="G763" s="19">
        <v>17.489999999999998</v>
      </c>
      <c r="H763" s="20">
        <v>14.24</v>
      </c>
      <c r="I763" s="20">
        <v>39.19</v>
      </c>
      <c r="J763" s="20">
        <v>931.96</v>
      </c>
      <c r="K763" s="21">
        <v>1013937.8899999999</v>
      </c>
      <c r="L763" s="2"/>
    </row>
    <row r="764" spans="1:12" x14ac:dyDescent="0.25">
      <c r="A764" s="58">
        <v>46053</v>
      </c>
      <c r="B764" s="18">
        <v>0.5</v>
      </c>
      <c r="C764" s="19">
        <v>4.3600000000000003</v>
      </c>
      <c r="D764" s="19">
        <v>87.48</v>
      </c>
      <c r="E764" s="19">
        <v>1.88</v>
      </c>
      <c r="F764" s="19">
        <v>1.35</v>
      </c>
      <c r="G764" s="19">
        <v>17.48</v>
      </c>
      <c r="H764" s="20">
        <v>14.24</v>
      </c>
      <c r="I764" s="20">
        <v>39.14</v>
      </c>
      <c r="J764" s="20">
        <v>931.73</v>
      </c>
      <c r="K764" s="21">
        <v>1007656.1499999999</v>
      </c>
      <c r="L764" s="2"/>
    </row>
    <row r="765" spans="1:12" x14ac:dyDescent="0.25">
      <c r="A765" s="58">
        <v>46053</v>
      </c>
      <c r="B765" s="18">
        <v>0.54166666666666663</v>
      </c>
      <c r="C765" s="19">
        <v>4.3</v>
      </c>
      <c r="D765" s="19">
        <v>86.51</v>
      </c>
      <c r="E765" s="19">
        <v>1.79</v>
      </c>
      <c r="F765" s="19">
        <v>1.77</v>
      </c>
      <c r="G765" s="19">
        <v>17.48</v>
      </c>
      <c r="H765" s="20">
        <v>14.25</v>
      </c>
      <c r="I765" s="20">
        <v>39.270000000000003</v>
      </c>
      <c r="J765" s="20">
        <v>931.74</v>
      </c>
      <c r="K765" s="21">
        <v>995340.28</v>
      </c>
      <c r="L765" s="2"/>
    </row>
    <row r="766" spans="1:12" x14ac:dyDescent="0.25">
      <c r="A766" s="58">
        <v>46053</v>
      </c>
      <c r="B766" s="18">
        <v>0.58333333333333337</v>
      </c>
      <c r="C766" s="19">
        <v>5.79</v>
      </c>
      <c r="D766" s="19">
        <v>82.12</v>
      </c>
      <c r="E766" s="19">
        <v>1.71</v>
      </c>
      <c r="F766" s="19">
        <v>4.57</v>
      </c>
      <c r="G766" s="19">
        <v>17.43</v>
      </c>
      <c r="H766" s="20">
        <v>14.27</v>
      </c>
      <c r="I766" s="20">
        <v>39.82</v>
      </c>
      <c r="J766" s="20">
        <v>931.88</v>
      </c>
      <c r="K766" s="21">
        <v>1000354.77</v>
      </c>
      <c r="L766" s="2"/>
    </row>
    <row r="767" spans="1:12" x14ac:dyDescent="0.25">
      <c r="A767" s="58">
        <v>46053</v>
      </c>
      <c r="B767" s="18">
        <v>0.625</v>
      </c>
      <c r="C767" s="19">
        <v>6.66</v>
      </c>
      <c r="D767" s="19">
        <v>81.19</v>
      </c>
      <c r="E767" s="19">
        <v>1.48</v>
      </c>
      <c r="F767" s="19">
        <v>5.46</v>
      </c>
      <c r="G767" s="19">
        <v>17.399999999999999</v>
      </c>
      <c r="H767" s="20">
        <v>14.28</v>
      </c>
      <c r="I767" s="20">
        <v>40.19</v>
      </c>
      <c r="J767" s="20">
        <v>932.37</v>
      </c>
      <c r="K767" s="21">
        <v>997279.12999999989</v>
      </c>
      <c r="L767" s="2"/>
    </row>
    <row r="768" spans="1:12" x14ac:dyDescent="0.25">
      <c r="A768" s="58">
        <v>46053</v>
      </c>
      <c r="B768" s="18">
        <v>0.66666666666666663</v>
      </c>
      <c r="C768" s="19">
        <v>6.24</v>
      </c>
      <c r="D768" s="19">
        <v>81.59</v>
      </c>
      <c r="E768" s="19">
        <v>1.53</v>
      </c>
      <c r="F768" s="19">
        <v>5.98</v>
      </c>
      <c r="G768" s="19">
        <v>17.41</v>
      </c>
      <c r="H768" s="20">
        <v>14.27</v>
      </c>
      <c r="I768" s="20">
        <v>40.25</v>
      </c>
      <c r="J768" s="20">
        <v>933.03</v>
      </c>
      <c r="K768" s="21">
        <v>1012328.51</v>
      </c>
      <c r="L768" s="2"/>
    </row>
    <row r="769" spans="1:12" x14ac:dyDescent="0.25">
      <c r="A769" s="58">
        <v>46053</v>
      </c>
      <c r="B769" s="18">
        <v>0.70833333333333337</v>
      </c>
      <c r="C769" s="19">
        <v>4.62</v>
      </c>
      <c r="D769" s="19">
        <v>81.7</v>
      </c>
      <c r="E769" s="19">
        <v>1.54</v>
      </c>
      <c r="F769" s="19">
        <v>4.51</v>
      </c>
      <c r="G769" s="19">
        <v>17.420000000000002</v>
      </c>
      <c r="H769" s="20">
        <v>14.25</v>
      </c>
      <c r="I769" s="20">
        <v>40</v>
      </c>
      <c r="J769" s="20">
        <v>933.66</v>
      </c>
      <c r="K769" s="21">
        <v>1002921.8600000001</v>
      </c>
      <c r="L769" s="2"/>
    </row>
    <row r="770" spans="1:12" x14ac:dyDescent="0.25">
      <c r="A770" s="58">
        <v>46053</v>
      </c>
      <c r="B770" s="18">
        <v>0.75</v>
      </c>
      <c r="C770" s="19">
        <v>4.46</v>
      </c>
      <c r="D770" s="19">
        <v>80.81</v>
      </c>
      <c r="E770" s="19">
        <v>1.64</v>
      </c>
      <c r="F770" s="19">
        <v>5.0599999999999996</v>
      </c>
      <c r="G770" s="19">
        <v>17.420000000000002</v>
      </c>
      <c r="H770" s="20">
        <v>14.24</v>
      </c>
      <c r="I770" s="20">
        <v>39.85</v>
      </c>
      <c r="J770" s="20">
        <v>934.27</v>
      </c>
      <c r="K770" s="21">
        <v>1011380.25</v>
      </c>
      <c r="L770" s="2"/>
    </row>
    <row r="771" spans="1:12" x14ac:dyDescent="0.25">
      <c r="A771" s="58">
        <v>46053</v>
      </c>
      <c r="B771" s="18">
        <v>0.79166666666666663</v>
      </c>
      <c r="C771" s="19">
        <v>5.69</v>
      </c>
      <c r="D771" s="19">
        <v>82.32</v>
      </c>
      <c r="E771" s="19">
        <v>1.87</v>
      </c>
      <c r="F771" s="19">
        <v>5.39</v>
      </c>
      <c r="G771" s="19">
        <v>17.440000000000001</v>
      </c>
      <c r="H771" s="20">
        <v>14.21</v>
      </c>
      <c r="I771" s="20">
        <v>39.520000000000003</v>
      </c>
      <c r="J771" s="20">
        <v>934.84</v>
      </c>
      <c r="K771" s="21">
        <v>1010888.27</v>
      </c>
      <c r="L771" s="2"/>
    </row>
    <row r="772" spans="1:12" x14ac:dyDescent="0.25">
      <c r="A772" s="58">
        <v>46053</v>
      </c>
      <c r="B772" s="18">
        <v>0.83333333333333337</v>
      </c>
      <c r="C772" s="19">
        <v>5.76</v>
      </c>
      <c r="D772" s="19">
        <v>82.08</v>
      </c>
      <c r="E772" s="19">
        <v>1.97</v>
      </c>
      <c r="F772" s="19">
        <v>4.22</v>
      </c>
      <c r="G772" s="19">
        <v>17.47</v>
      </c>
      <c r="H772" s="20">
        <v>14.18</v>
      </c>
      <c r="I772" s="20">
        <v>39.08</v>
      </c>
      <c r="J772" s="20">
        <v>935.29</v>
      </c>
      <c r="K772" s="21">
        <v>1019258.48</v>
      </c>
      <c r="L772" s="2"/>
    </row>
    <row r="773" spans="1:12" x14ac:dyDescent="0.25">
      <c r="A773" s="58">
        <v>46053</v>
      </c>
      <c r="B773" s="18">
        <v>0.875</v>
      </c>
      <c r="C773" s="19">
        <v>6.15</v>
      </c>
      <c r="D773" s="19">
        <v>82.51</v>
      </c>
      <c r="E773" s="19">
        <v>1.97</v>
      </c>
      <c r="F773" s="19">
        <v>4.53</v>
      </c>
      <c r="G773" s="19">
        <v>17.46</v>
      </c>
      <c r="H773" s="20">
        <v>14.17</v>
      </c>
      <c r="I773" s="20">
        <v>38.92</v>
      </c>
      <c r="J773" s="20">
        <v>935.69</v>
      </c>
      <c r="K773" s="21">
        <v>1025720.6699999999</v>
      </c>
      <c r="L773" s="2"/>
    </row>
    <row r="774" spans="1:12" x14ac:dyDescent="0.25">
      <c r="A774" s="58">
        <v>46053</v>
      </c>
      <c r="B774" s="18">
        <v>0.91666666666666663</v>
      </c>
      <c r="C774" s="19">
        <v>5.57</v>
      </c>
      <c r="D774" s="19">
        <v>82.88</v>
      </c>
      <c r="E774" s="19">
        <v>1.86</v>
      </c>
      <c r="F774" s="19">
        <v>3.51</v>
      </c>
      <c r="G774" s="19">
        <v>17.47</v>
      </c>
      <c r="H774" s="20">
        <v>14.16</v>
      </c>
      <c r="I774" s="20">
        <v>38.770000000000003</v>
      </c>
      <c r="J774" s="20">
        <v>936.25</v>
      </c>
      <c r="K774" s="21">
        <v>1026652.6799999999</v>
      </c>
      <c r="L774" s="2"/>
    </row>
    <row r="775" spans="1:12" ht="15.75" thickBot="1" x14ac:dyDescent="0.3">
      <c r="A775" s="60">
        <v>46053</v>
      </c>
      <c r="B775" s="35">
        <v>0.95833333333333337</v>
      </c>
      <c r="C775" s="23">
        <v>7.11</v>
      </c>
      <c r="D775" s="23">
        <v>84.68</v>
      </c>
      <c r="E775" s="23">
        <v>1.67</v>
      </c>
      <c r="F775" s="23">
        <v>3.05</v>
      </c>
      <c r="G775" s="23">
        <v>17.45</v>
      </c>
      <c r="H775" s="24">
        <v>92.15</v>
      </c>
      <c r="I775" s="24">
        <v>38.51</v>
      </c>
      <c r="J775" s="24">
        <v>937.04</v>
      </c>
      <c r="K775" s="25">
        <v>1034383.8600000001</v>
      </c>
      <c r="L775" s="2"/>
    </row>
    <row r="776" spans="1:12" ht="15.75" thickBot="1" x14ac:dyDescent="0.3">
      <c r="A776" s="26" t="s">
        <v>42</v>
      </c>
      <c r="B776" s="44"/>
      <c r="C776" s="45">
        <f t="shared" ref="C776:K776" si="30">IFERROR(ROUND(AVERAGE(C752:C775), 2), "")</f>
        <v>9.3800000000000008</v>
      </c>
      <c r="D776" s="45">
        <f t="shared" si="30"/>
        <v>85.79</v>
      </c>
      <c r="E776" s="45">
        <f t="shared" si="30"/>
        <v>1.87</v>
      </c>
      <c r="F776" s="45">
        <f t="shared" si="30"/>
        <v>2.99</v>
      </c>
      <c r="G776" s="45">
        <f t="shared" si="30"/>
        <v>17.47</v>
      </c>
      <c r="H776" s="45">
        <f t="shared" si="30"/>
        <v>17.53</v>
      </c>
      <c r="I776" s="45">
        <f t="shared" si="30"/>
        <v>39.979999999999997</v>
      </c>
      <c r="J776" s="45">
        <f t="shared" si="30"/>
        <v>931.95</v>
      </c>
      <c r="K776" s="46">
        <f t="shared" si="30"/>
        <v>1006511.23</v>
      </c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1">
        <v>46023</v>
      </c>
      <c r="B779" s="47"/>
      <c r="C779" s="48">
        <f t="shared" ref="C779:K779" si="31">C26</f>
        <v>6.23</v>
      </c>
      <c r="D779" s="48">
        <f t="shared" si="31"/>
        <v>73.91</v>
      </c>
      <c r="E779" s="48">
        <f t="shared" si="31"/>
        <v>1.1399999999999999</v>
      </c>
      <c r="F779" s="48">
        <f t="shared" si="31"/>
        <v>0.74</v>
      </c>
      <c r="G779" s="48">
        <f t="shared" si="31"/>
        <v>17.48</v>
      </c>
      <c r="H779" s="48">
        <f t="shared" si="31"/>
        <v>13.93</v>
      </c>
      <c r="I779" s="48">
        <f t="shared" si="31"/>
        <v>35.520000000000003</v>
      </c>
      <c r="J779" s="48">
        <f t="shared" si="31"/>
        <v>940.95</v>
      </c>
      <c r="K779" s="49">
        <f t="shared" si="31"/>
        <v>900425.66</v>
      </c>
      <c r="L779" s="8"/>
    </row>
    <row r="780" spans="1:12" x14ac:dyDescent="0.25">
      <c r="A780" s="62">
        <v>46024</v>
      </c>
      <c r="B780" s="50"/>
      <c r="C780" s="51">
        <f t="shared" ref="C780:K780" si="32">C51</f>
        <v>6.2</v>
      </c>
      <c r="D780" s="51">
        <f t="shared" si="32"/>
        <v>76.180000000000007</v>
      </c>
      <c r="E780" s="51">
        <f t="shared" si="32"/>
        <v>0.83</v>
      </c>
      <c r="F780" s="51">
        <f t="shared" si="32"/>
        <v>0.52</v>
      </c>
      <c r="G780" s="51">
        <f t="shared" si="32"/>
        <v>17.489999999999998</v>
      </c>
      <c r="H780" s="51">
        <f t="shared" si="32"/>
        <v>14.14</v>
      </c>
      <c r="I780" s="51">
        <f t="shared" si="32"/>
        <v>38.36</v>
      </c>
      <c r="J780" s="51">
        <f t="shared" si="32"/>
        <v>935.64</v>
      </c>
      <c r="K780" s="52">
        <f t="shared" si="32"/>
        <v>855193.13</v>
      </c>
      <c r="L780" s="8"/>
    </row>
    <row r="781" spans="1:12" x14ac:dyDescent="0.25">
      <c r="A781" s="62">
        <v>46025</v>
      </c>
      <c r="B781" s="50"/>
      <c r="C781" s="51">
        <f t="shared" ref="C781:K781" si="33">C76</f>
        <v>5.47</v>
      </c>
      <c r="D781" s="51">
        <f t="shared" si="33"/>
        <v>70.44</v>
      </c>
      <c r="E781" s="51">
        <f t="shared" si="33"/>
        <v>1.35</v>
      </c>
      <c r="F781" s="51">
        <f t="shared" si="33"/>
        <v>1</v>
      </c>
      <c r="G781" s="51">
        <f t="shared" si="33"/>
        <v>17.46</v>
      </c>
      <c r="H781" s="51">
        <f t="shared" si="33"/>
        <v>14.37</v>
      </c>
      <c r="I781" s="51">
        <f t="shared" si="33"/>
        <v>41.42</v>
      </c>
      <c r="J781" s="51">
        <f t="shared" si="33"/>
        <v>930.35</v>
      </c>
      <c r="K781" s="52">
        <f t="shared" si="33"/>
        <v>872596.94</v>
      </c>
      <c r="L781" s="8"/>
    </row>
    <row r="782" spans="1:12" x14ac:dyDescent="0.25">
      <c r="A782" s="62">
        <v>46026</v>
      </c>
      <c r="B782" s="50"/>
      <c r="C782" s="51">
        <f t="shared" ref="C782:K782" si="34">C101</f>
        <v>4.2699999999999996</v>
      </c>
      <c r="D782" s="51">
        <f t="shared" si="34"/>
        <v>71.05</v>
      </c>
      <c r="E782" s="51">
        <f t="shared" si="34"/>
        <v>1.96</v>
      </c>
      <c r="F782" s="51">
        <f t="shared" si="34"/>
        <v>1.77</v>
      </c>
      <c r="G782" s="51">
        <f t="shared" si="34"/>
        <v>17.48</v>
      </c>
      <c r="H782" s="51">
        <f t="shared" si="34"/>
        <v>14.22</v>
      </c>
      <c r="I782" s="51">
        <f t="shared" si="34"/>
        <v>39.81</v>
      </c>
      <c r="J782" s="51">
        <f t="shared" si="34"/>
        <v>935.03</v>
      </c>
      <c r="K782" s="52">
        <f t="shared" si="34"/>
        <v>910456.78</v>
      </c>
      <c r="L782" s="8"/>
    </row>
    <row r="783" spans="1:12" x14ac:dyDescent="0.25">
      <c r="A783" s="62">
        <v>46027</v>
      </c>
      <c r="B783" s="50"/>
      <c r="C783" s="51">
        <f t="shared" ref="C783:K783" si="35">C126</f>
        <v>4.1100000000000003</v>
      </c>
      <c r="D783" s="51">
        <f t="shared" si="35"/>
        <v>71.36</v>
      </c>
      <c r="E783" s="51">
        <f t="shared" si="35"/>
        <v>2.0299999999999998</v>
      </c>
      <c r="F783" s="51">
        <f t="shared" si="35"/>
        <v>1.3</v>
      </c>
      <c r="G783" s="51">
        <f t="shared" si="35"/>
        <v>17.489999999999998</v>
      </c>
      <c r="H783" s="51">
        <f t="shared" si="35"/>
        <v>14.09</v>
      </c>
      <c r="I783" s="51">
        <f t="shared" si="35"/>
        <v>38.700000000000003</v>
      </c>
      <c r="J783" s="51">
        <f t="shared" si="35"/>
        <v>940.27</v>
      </c>
      <c r="K783" s="52">
        <f t="shared" si="35"/>
        <v>970470.21</v>
      </c>
      <c r="L783" s="8"/>
    </row>
    <row r="784" spans="1:12" x14ac:dyDescent="0.25">
      <c r="A784" s="62">
        <v>46028</v>
      </c>
      <c r="B784" s="50"/>
      <c r="C784" s="51">
        <f t="shared" ref="C784:K784" si="36">C151</f>
        <v>4.2300000000000004</v>
      </c>
      <c r="D784" s="51">
        <f t="shared" si="36"/>
        <v>71.58</v>
      </c>
      <c r="E784" s="51">
        <f t="shared" si="36"/>
        <v>2.71</v>
      </c>
      <c r="F784" s="51">
        <f t="shared" si="36"/>
        <v>2.12</v>
      </c>
      <c r="G784" s="51">
        <f>G151</f>
        <v>17.45</v>
      </c>
      <c r="H784" s="51">
        <f t="shared" si="36"/>
        <v>14.22</v>
      </c>
      <c r="I784" s="51">
        <f t="shared" si="36"/>
        <v>40.200000000000003</v>
      </c>
      <c r="J784" s="51">
        <f t="shared" si="36"/>
        <v>935.79</v>
      </c>
      <c r="K784" s="52">
        <f t="shared" si="36"/>
        <v>902668.92</v>
      </c>
      <c r="L784" s="8"/>
    </row>
    <row r="785" spans="1:12" x14ac:dyDescent="0.25">
      <c r="A785" s="62">
        <v>46029</v>
      </c>
      <c r="B785" s="50"/>
      <c r="C785" s="51">
        <f t="shared" ref="C785:K785" si="37">C176</f>
        <v>3.84</v>
      </c>
      <c r="D785" s="51">
        <f t="shared" si="37"/>
        <v>73.03</v>
      </c>
      <c r="E785" s="51">
        <f t="shared" si="37"/>
        <v>2.44</v>
      </c>
      <c r="F785" s="51">
        <f t="shared" si="37"/>
        <v>0.98</v>
      </c>
      <c r="G785" s="51">
        <f t="shared" si="37"/>
        <v>17.46</v>
      </c>
      <c r="H785" s="51">
        <f t="shared" si="37"/>
        <v>14.31</v>
      </c>
      <c r="I785" s="51">
        <f t="shared" si="37"/>
        <v>41.16</v>
      </c>
      <c r="J785" s="51">
        <f t="shared" si="37"/>
        <v>933.1</v>
      </c>
      <c r="K785" s="52">
        <f t="shared" si="37"/>
        <v>915394.76</v>
      </c>
      <c r="L785" s="8"/>
    </row>
    <row r="786" spans="1:12" x14ac:dyDescent="0.25">
      <c r="A786" s="62">
        <v>46030</v>
      </c>
      <c r="B786" s="50"/>
      <c r="C786" s="51">
        <f t="shared" ref="C786:K786" si="38">C201</f>
        <v>4.63</v>
      </c>
      <c r="D786" s="51">
        <f t="shared" si="38"/>
        <v>72.62</v>
      </c>
      <c r="E786" s="51">
        <f t="shared" si="38"/>
        <v>2.37</v>
      </c>
      <c r="F786" s="51">
        <f t="shared" si="38"/>
        <v>2.29</v>
      </c>
      <c r="G786" s="51">
        <f t="shared" si="38"/>
        <v>17.46</v>
      </c>
      <c r="H786" s="51">
        <f t="shared" si="38"/>
        <v>14.31</v>
      </c>
      <c r="I786" s="51">
        <f t="shared" si="38"/>
        <v>38.130000000000003</v>
      </c>
      <c r="J786" s="51">
        <f t="shared" si="38"/>
        <v>924.2</v>
      </c>
      <c r="K786" s="52">
        <f t="shared" si="38"/>
        <v>940523.08</v>
      </c>
      <c r="L786" s="8"/>
    </row>
    <row r="787" spans="1:12" x14ac:dyDescent="0.25">
      <c r="A787" s="62">
        <v>46031</v>
      </c>
      <c r="B787" s="50"/>
      <c r="C787" s="51">
        <f t="shared" ref="C787:K787" si="39">C226</f>
        <v>5.53</v>
      </c>
      <c r="D787" s="51">
        <f t="shared" si="39"/>
        <v>70.77</v>
      </c>
      <c r="E787" s="51">
        <f t="shared" si="39"/>
        <v>1.1499999999999999</v>
      </c>
      <c r="F787" s="51">
        <f t="shared" si="39"/>
        <v>4.93</v>
      </c>
      <c r="G787" s="51">
        <f t="shared" si="39"/>
        <v>17.38</v>
      </c>
      <c r="H787" s="51">
        <f t="shared" si="39"/>
        <v>14.17</v>
      </c>
      <c r="I787" s="51">
        <f t="shared" si="39"/>
        <v>37.04</v>
      </c>
      <c r="J787" s="51">
        <f t="shared" si="39"/>
        <v>929.44</v>
      </c>
      <c r="K787" s="52">
        <f t="shared" si="39"/>
        <v>931869.56</v>
      </c>
      <c r="L787" s="8"/>
    </row>
    <row r="788" spans="1:12" x14ac:dyDescent="0.25">
      <c r="A788" s="62">
        <v>46032</v>
      </c>
      <c r="B788" s="50"/>
      <c r="C788" s="51">
        <f t="shared" ref="C788:K788" si="40">C251</f>
        <v>5.73</v>
      </c>
      <c r="D788" s="51">
        <f t="shared" si="40"/>
        <v>71.959999999999994</v>
      </c>
      <c r="E788" s="51">
        <f t="shared" si="40"/>
        <v>1.73</v>
      </c>
      <c r="F788" s="51">
        <f t="shared" si="40"/>
        <v>9.0500000000000007</v>
      </c>
      <c r="G788" s="51">
        <f t="shared" si="40"/>
        <v>17.36</v>
      </c>
      <c r="H788" s="51">
        <f t="shared" si="40"/>
        <v>14.39</v>
      </c>
      <c r="I788" s="51">
        <f t="shared" si="40"/>
        <v>39.99</v>
      </c>
      <c r="J788" s="51">
        <f t="shared" si="40"/>
        <v>924.31</v>
      </c>
      <c r="K788" s="52">
        <f t="shared" si="40"/>
        <v>935704.89</v>
      </c>
      <c r="L788" s="8"/>
    </row>
    <row r="789" spans="1:12" x14ac:dyDescent="0.25">
      <c r="A789" s="62">
        <v>46033</v>
      </c>
      <c r="B789" s="50"/>
      <c r="C789" s="51">
        <f t="shared" ref="C789:K789" si="41">C276</f>
        <v>6.35</v>
      </c>
      <c r="D789" s="51">
        <f t="shared" si="41"/>
        <v>73.959999999999994</v>
      </c>
      <c r="E789" s="51">
        <f t="shared" si="41"/>
        <v>2.2400000000000002</v>
      </c>
      <c r="F789" s="51">
        <f t="shared" si="41"/>
        <v>1.22</v>
      </c>
      <c r="G789" s="51">
        <f t="shared" si="41"/>
        <v>17.440000000000001</v>
      </c>
      <c r="H789" s="51">
        <f t="shared" si="41"/>
        <v>14.02</v>
      </c>
      <c r="I789" s="51">
        <f t="shared" si="41"/>
        <v>35.1</v>
      </c>
      <c r="J789" s="51">
        <f t="shared" si="41"/>
        <v>933.58</v>
      </c>
      <c r="K789" s="52">
        <f t="shared" si="41"/>
        <v>996070.42</v>
      </c>
      <c r="L789" s="8"/>
    </row>
    <row r="790" spans="1:12" x14ac:dyDescent="0.25">
      <c r="A790" s="62">
        <v>46034</v>
      </c>
      <c r="B790" s="50"/>
      <c r="C790" s="51">
        <f t="shared" ref="C790:K790" si="42">C301</f>
        <v>6.8</v>
      </c>
      <c r="D790" s="51">
        <f t="shared" si="42"/>
        <v>74.19</v>
      </c>
      <c r="E790" s="51">
        <f t="shared" si="42"/>
        <v>2.0499999999999998</v>
      </c>
      <c r="F790" s="51">
        <f t="shared" si="42"/>
        <v>0.52</v>
      </c>
      <c r="G790" s="51">
        <f t="shared" si="42"/>
        <v>17.440000000000001</v>
      </c>
      <c r="H790" s="51">
        <f t="shared" si="42"/>
        <v>13.83</v>
      </c>
      <c r="I790" s="51">
        <f t="shared" si="42"/>
        <v>33.68</v>
      </c>
      <c r="J790" s="51">
        <f t="shared" si="42"/>
        <v>941.89</v>
      </c>
      <c r="K790" s="52">
        <f t="shared" si="42"/>
        <v>973233.12</v>
      </c>
      <c r="L790" s="8"/>
    </row>
    <row r="791" spans="1:12" x14ac:dyDescent="0.25">
      <c r="A791" s="62">
        <v>46035</v>
      </c>
      <c r="B791" s="50"/>
      <c r="C791" s="51">
        <f t="shared" ref="C791:K791" si="43">C326</f>
        <v>7.6</v>
      </c>
      <c r="D791" s="51">
        <f t="shared" si="43"/>
        <v>74.98</v>
      </c>
      <c r="E791" s="51">
        <f t="shared" si="43"/>
        <v>1.86</v>
      </c>
      <c r="F791" s="51">
        <f t="shared" si="43"/>
        <v>0.27</v>
      </c>
      <c r="G791" s="51">
        <f t="shared" si="43"/>
        <v>17.41</v>
      </c>
      <c r="H791" s="51">
        <f t="shared" si="43"/>
        <v>13.76</v>
      </c>
      <c r="I791" s="51">
        <f t="shared" si="43"/>
        <v>33.11</v>
      </c>
      <c r="J791" s="51">
        <f t="shared" si="43"/>
        <v>944.93</v>
      </c>
      <c r="K791" s="52">
        <f t="shared" si="43"/>
        <v>961089.79</v>
      </c>
      <c r="L791" s="8"/>
    </row>
    <row r="792" spans="1:12" x14ac:dyDescent="0.25">
      <c r="A792" s="62">
        <v>46036</v>
      </c>
      <c r="B792" s="50"/>
      <c r="C792" s="51">
        <f t="shared" ref="C792:K792" si="44">C351</f>
        <v>7.28</v>
      </c>
      <c r="D792" s="51">
        <f t="shared" si="44"/>
        <v>75.680000000000007</v>
      </c>
      <c r="E792" s="51">
        <f t="shared" si="44"/>
        <v>2.2200000000000002</v>
      </c>
      <c r="F792" s="51">
        <f t="shared" si="44"/>
        <v>0.62</v>
      </c>
      <c r="G792" s="51">
        <f t="shared" si="44"/>
        <v>17.38</v>
      </c>
      <c r="H792" s="51">
        <f t="shared" si="44"/>
        <v>13.82</v>
      </c>
      <c r="I792" s="51">
        <f t="shared" si="44"/>
        <v>34.89</v>
      </c>
      <c r="J792" s="51">
        <f t="shared" si="44"/>
        <v>946.66</v>
      </c>
      <c r="K792" s="52">
        <f t="shared" si="44"/>
        <v>941477.93</v>
      </c>
      <c r="L792" s="8"/>
    </row>
    <row r="793" spans="1:12" x14ac:dyDescent="0.25">
      <c r="A793" s="62">
        <v>46037</v>
      </c>
      <c r="B793" s="50"/>
      <c r="C793" s="51">
        <f t="shared" ref="C793:K793" si="45">C376</f>
        <v>6.78</v>
      </c>
      <c r="D793" s="51">
        <f t="shared" si="45"/>
        <v>73.349999999999994</v>
      </c>
      <c r="E793" s="51">
        <f t="shared" si="45"/>
        <v>2.3199999999999998</v>
      </c>
      <c r="F793" s="51">
        <f t="shared" si="45"/>
        <v>3.32</v>
      </c>
      <c r="G793" s="51">
        <f t="shared" si="45"/>
        <v>17.329999999999998</v>
      </c>
      <c r="H793" s="51">
        <f t="shared" si="45"/>
        <v>13.93</v>
      </c>
      <c r="I793" s="51">
        <f t="shared" si="45"/>
        <v>36.79</v>
      </c>
      <c r="J793" s="51">
        <f t="shared" si="45"/>
        <v>944.75</v>
      </c>
      <c r="K793" s="52">
        <f t="shared" si="45"/>
        <v>927760.49</v>
      </c>
      <c r="L793" s="8"/>
    </row>
    <row r="794" spans="1:12" x14ac:dyDescent="0.25">
      <c r="A794" s="62">
        <v>46038</v>
      </c>
      <c r="B794" s="50"/>
      <c r="C794" s="51">
        <f t="shared" ref="C794:K794" si="46">C401</f>
        <v>6.83</v>
      </c>
      <c r="D794" s="51">
        <f t="shared" si="46"/>
        <v>75.17</v>
      </c>
      <c r="E794" s="51">
        <f t="shared" si="46"/>
        <v>1.95</v>
      </c>
      <c r="F794" s="51">
        <f t="shared" si="46"/>
        <v>1.49</v>
      </c>
      <c r="G794" s="51">
        <f t="shared" si="46"/>
        <v>17.420000000000002</v>
      </c>
      <c r="H794" s="51">
        <f t="shared" si="46"/>
        <v>13.78</v>
      </c>
      <c r="I794" s="51">
        <f t="shared" si="46"/>
        <v>36.11</v>
      </c>
      <c r="J794" s="51">
        <f t="shared" si="46"/>
        <v>953.01</v>
      </c>
      <c r="K794" s="52">
        <f t="shared" si="46"/>
        <v>1001955.97</v>
      </c>
      <c r="L794" s="8"/>
    </row>
    <row r="795" spans="1:12" x14ac:dyDescent="0.25">
      <c r="A795" s="62">
        <v>46039</v>
      </c>
      <c r="B795" s="50"/>
      <c r="C795" s="51">
        <f t="shared" ref="C795:K795" si="47">C426</f>
        <v>7.18</v>
      </c>
      <c r="D795" s="51">
        <f t="shared" si="47"/>
        <v>74.44</v>
      </c>
      <c r="E795" s="51">
        <f t="shared" si="47"/>
        <v>2.33</v>
      </c>
      <c r="F795" s="51">
        <f t="shared" si="47"/>
        <v>1.41</v>
      </c>
      <c r="G795" s="51">
        <f t="shared" si="47"/>
        <v>17.45</v>
      </c>
      <c r="H795" s="51">
        <f t="shared" si="47"/>
        <v>13.58</v>
      </c>
      <c r="I795" s="51">
        <f t="shared" si="47"/>
        <v>33.14</v>
      </c>
      <c r="J795" s="51">
        <f t="shared" si="47"/>
        <v>957.67</v>
      </c>
      <c r="K795" s="52">
        <f t="shared" si="47"/>
        <v>1011303.3</v>
      </c>
      <c r="L795" s="8"/>
    </row>
    <row r="796" spans="1:12" x14ac:dyDescent="0.25">
      <c r="A796" s="62">
        <v>46040</v>
      </c>
      <c r="B796" s="50"/>
      <c r="C796" s="51">
        <f t="shared" ref="C796:K796" si="48">C451</f>
        <v>6.16</v>
      </c>
      <c r="D796" s="51">
        <f t="shared" si="48"/>
        <v>74.64</v>
      </c>
      <c r="E796" s="51">
        <f t="shared" si="48"/>
        <v>2.4</v>
      </c>
      <c r="F796" s="51">
        <f t="shared" si="48"/>
        <v>3.39</v>
      </c>
      <c r="G796" s="51">
        <f t="shared" si="48"/>
        <v>17.52</v>
      </c>
      <c r="H796" s="51">
        <f t="shared" si="48"/>
        <v>13.57</v>
      </c>
      <c r="I796" s="51">
        <f t="shared" si="48"/>
        <v>33.42</v>
      </c>
      <c r="J796" s="51">
        <f t="shared" si="48"/>
        <v>959.33</v>
      </c>
      <c r="K796" s="52">
        <f t="shared" si="48"/>
        <v>1007477.49</v>
      </c>
      <c r="L796" s="8"/>
    </row>
    <row r="797" spans="1:12" x14ac:dyDescent="0.25">
      <c r="A797" s="62">
        <v>46041</v>
      </c>
      <c r="B797" s="50"/>
      <c r="C797" s="51">
        <f t="shared" ref="C797:K797" si="49">C476</f>
        <v>5.63</v>
      </c>
      <c r="D797" s="51">
        <f t="shared" si="49"/>
        <v>73.540000000000006</v>
      </c>
      <c r="E797" s="51">
        <f t="shared" si="49"/>
        <v>2.2599999999999998</v>
      </c>
      <c r="F797" s="51">
        <f t="shared" si="49"/>
        <v>2.8</v>
      </c>
      <c r="G797" s="51">
        <f t="shared" si="49"/>
        <v>17.32</v>
      </c>
      <c r="H797" s="51">
        <f t="shared" si="49"/>
        <v>13.57</v>
      </c>
      <c r="I797" s="51">
        <f t="shared" si="49"/>
        <v>33.71</v>
      </c>
      <c r="J797" s="51">
        <f t="shared" si="49"/>
        <v>960.06</v>
      </c>
      <c r="K797" s="52">
        <f t="shared" si="49"/>
        <v>977375.65</v>
      </c>
      <c r="L797" s="8"/>
    </row>
    <row r="798" spans="1:12" x14ac:dyDescent="0.25">
      <c r="A798" s="62">
        <v>46042</v>
      </c>
      <c r="B798" s="50"/>
      <c r="C798" s="51">
        <f t="shared" ref="C798:K798" si="50">C501</f>
        <v>6.96</v>
      </c>
      <c r="D798" s="51">
        <f t="shared" si="50"/>
        <v>70.540000000000006</v>
      </c>
      <c r="E798" s="51">
        <f t="shared" si="50"/>
        <v>1.92</v>
      </c>
      <c r="F798" s="51">
        <f t="shared" si="50"/>
        <v>7.5</v>
      </c>
      <c r="G798" s="51">
        <f t="shared" si="50"/>
        <v>17.260000000000002</v>
      </c>
      <c r="H798" s="51">
        <f t="shared" si="50"/>
        <v>13.64</v>
      </c>
      <c r="I798" s="51">
        <f t="shared" si="50"/>
        <v>34.53</v>
      </c>
      <c r="J798" s="51">
        <f t="shared" si="50"/>
        <v>957.79</v>
      </c>
      <c r="K798" s="52">
        <f t="shared" si="50"/>
        <v>951719.86</v>
      </c>
      <c r="L798" s="8"/>
    </row>
    <row r="799" spans="1:12" x14ac:dyDescent="0.25">
      <c r="A799" s="62">
        <v>46043</v>
      </c>
      <c r="B799" s="50"/>
      <c r="C799" s="51">
        <f t="shared" ref="C799:K799" si="51">C526</f>
        <v>6.64</v>
      </c>
      <c r="D799" s="51">
        <f t="shared" si="51"/>
        <v>68.239999999999995</v>
      </c>
      <c r="E799" s="51">
        <f t="shared" si="51"/>
        <v>1.74</v>
      </c>
      <c r="F799" s="51">
        <f t="shared" si="51"/>
        <v>13.98</v>
      </c>
      <c r="G799" s="51">
        <f t="shared" si="51"/>
        <v>17.22</v>
      </c>
      <c r="H799" s="51">
        <f t="shared" si="51"/>
        <v>13.84</v>
      </c>
      <c r="I799" s="51">
        <f t="shared" si="51"/>
        <v>35.11</v>
      </c>
      <c r="J799" s="51">
        <f t="shared" si="51"/>
        <v>945.91</v>
      </c>
      <c r="K799" s="52">
        <f t="shared" si="51"/>
        <v>934425.46</v>
      </c>
      <c r="L799" s="8"/>
    </row>
    <row r="800" spans="1:12" x14ac:dyDescent="0.25">
      <c r="A800" s="62">
        <v>46044</v>
      </c>
      <c r="B800" s="50"/>
      <c r="C800" s="51">
        <f t="shared" ref="C800:K800" si="52">C551</f>
        <v>6.25</v>
      </c>
      <c r="D800" s="51">
        <f t="shared" si="52"/>
        <v>71.86</v>
      </c>
      <c r="E800" s="51">
        <f t="shared" si="52"/>
        <v>2.2400000000000002</v>
      </c>
      <c r="F800" s="51">
        <f t="shared" si="52"/>
        <v>7.23</v>
      </c>
      <c r="G800" s="51">
        <f t="shared" si="52"/>
        <v>17.329999999999998</v>
      </c>
      <c r="H800" s="51">
        <f t="shared" si="52"/>
        <v>14.19</v>
      </c>
      <c r="I800" s="51">
        <f t="shared" si="52"/>
        <v>37.880000000000003</v>
      </c>
      <c r="J800" s="51">
        <f t="shared" si="52"/>
        <v>931.34</v>
      </c>
      <c r="K800" s="52">
        <f t="shared" si="52"/>
        <v>886898.39</v>
      </c>
      <c r="L800" s="8"/>
    </row>
    <row r="801" spans="1:12" x14ac:dyDescent="0.25">
      <c r="A801" s="62">
        <v>46045</v>
      </c>
      <c r="B801" s="50"/>
      <c r="C801" s="51">
        <f t="shared" ref="C801:K801" si="53">C576</f>
        <v>5.28</v>
      </c>
      <c r="D801" s="51">
        <f t="shared" si="53"/>
        <v>72.73</v>
      </c>
      <c r="E801" s="51">
        <f t="shared" si="53"/>
        <v>2.27</v>
      </c>
      <c r="F801" s="51">
        <f t="shared" si="53"/>
        <v>1.44</v>
      </c>
      <c r="G801" s="51">
        <f t="shared" si="53"/>
        <v>17.45</v>
      </c>
      <c r="H801" s="51">
        <f t="shared" si="53"/>
        <v>14.15</v>
      </c>
      <c r="I801" s="51">
        <f t="shared" si="53"/>
        <v>37.28</v>
      </c>
      <c r="J801" s="51">
        <f t="shared" si="53"/>
        <v>931.77</v>
      </c>
      <c r="K801" s="52">
        <f t="shared" si="53"/>
        <v>909882.89</v>
      </c>
      <c r="L801" s="8"/>
    </row>
    <row r="802" spans="1:12" x14ac:dyDescent="0.25">
      <c r="A802" s="62">
        <v>46046</v>
      </c>
      <c r="B802" s="50"/>
      <c r="C802" s="51">
        <f t="shared" ref="C802:K802" si="54">C601</f>
        <v>5.16</v>
      </c>
      <c r="D802" s="51">
        <f t="shared" si="54"/>
        <v>72.81</v>
      </c>
      <c r="E802" s="51">
        <f t="shared" si="54"/>
        <v>2.2999999999999998</v>
      </c>
      <c r="F802" s="51">
        <f t="shared" si="54"/>
        <v>4.3899999999999997</v>
      </c>
      <c r="G802" s="51">
        <f t="shared" si="54"/>
        <v>17.43</v>
      </c>
      <c r="H802" s="51">
        <f t="shared" si="54"/>
        <v>14.08</v>
      </c>
      <c r="I802" s="51">
        <f t="shared" si="54"/>
        <v>37.619999999999997</v>
      </c>
      <c r="J802" s="51">
        <f t="shared" si="54"/>
        <v>937.77</v>
      </c>
      <c r="K802" s="52">
        <f t="shared" si="54"/>
        <v>937498.06</v>
      </c>
      <c r="L802" s="8"/>
    </row>
    <row r="803" spans="1:12" x14ac:dyDescent="0.25">
      <c r="A803" s="62">
        <v>46047</v>
      </c>
      <c r="B803" s="50"/>
      <c r="C803" s="53">
        <f t="shared" ref="C803:K803" si="55">C626</f>
        <v>5.01</v>
      </c>
      <c r="D803" s="53">
        <f t="shared" si="55"/>
        <v>74.12</v>
      </c>
      <c r="E803" s="53">
        <f t="shared" si="55"/>
        <v>2.2599999999999998</v>
      </c>
      <c r="F803" s="53">
        <f t="shared" si="55"/>
        <v>10.27</v>
      </c>
      <c r="G803" s="53">
        <f t="shared" si="55"/>
        <v>17.36</v>
      </c>
      <c r="H803" s="53">
        <f t="shared" si="55"/>
        <v>14.13</v>
      </c>
      <c r="I803" s="53">
        <f t="shared" si="55"/>
        <v>38.840000000000003</v>
      </c>
      <c r="J803" s="53">
        <f t="shared" si="55"/>
        <v>938.12</v>
      </c>
      <c r="K803" s="54">
        <f t="shared" si="55"/>
        <v>973012.89</v>
      </c>
      <c r="L803" s="9"/>
    </row>
    <row r="804" spans="1:12" x14ac:dyDescent="0.25">
      <c r="A804" s="62">
        <v>46048</v>
      </c>
      <c r="B804" s="50"/>
      <c r="C804" s="53">
        <f t="shared" ref="C804:K804" si="56">C651</f>
        <v>10.24</v>
      </c>
      <c r="D804" s="53">
        <f t="shared" si="56"/>
        <v>80.62</v>
      </c>
      <c r="E804" s="53">
        <f t="shared" si="56"/>
        <v>2.4700000000000002</v>
      </c>
      <c r="F804" s="53">
        <f t="shared" si="56"/>
        <v>27.05</v>
      </c>
      <c r="G804" s="53">
        <f t="shared" si="56"/>
        <v>17.77</v>
      </c>
      <c r="H804" s="53">
        <f t="shared" si="56"/>
        <v>14.26</v>
      </c>
      <c r="I804" s="53">
        <f t="shared" si="56"/>
        <v>39.24</v>
      </c>
      <c r="J804" s="53">
        <f t="shared" si="56"/>
        <v>930.14</v>
      </c>
      <c r="K804" s="54">
        <f t="shared" si="56"/>
        <v>880173.24</v>
      </c>
      <c r="L804" s="9"/>
    </row>
    <row r="805" spans="1:12" x14ac:dyDescent="0.25">
      <c r="A805" s="62">
        <v>46049</v>
      </c>
      <c r="B805" s="50"/>
      <c r="C805" s="53">
        <f t="shared" ref="C805:K805" si="57">C676</f>
        <v>5.0599999999999996</v>
      </c>
      <c r="D805" s="53">
        <f t="shared" si="57"/>
        <v>77.05</v>
      </c>
      <c r="E805" s="53">
        <f t="shared" si="57"/>
        <v>2.4</v>
      </c>
      <c r="F805" s="53">
        <f t="shared" si="57"/>
        <v>30.28</v>
      </c>
      <c r="G805" s="53">
        <f t="shared" si="57"/>
        <v>17.239999999999998</v>
      </c>
      <c r="H805" s="53">
        <f t="shared" si="57"/>
        <v>14.49</v>
      </c>
      <c r="I805" s="53">
        <f t="shared" si="57"/>
        <v>43.15</v>
      </c>
      <c r="J805" s="53">
        <f t="shared" si="57"/>
        <v>927.34</v>
      </c>
      <c r="K805" s="54">
        <f t="shared" si="57"/>
        <v>991526.7</v>
      </c>
      <c r="L805" s="9"/>
    </row>
    <row r="806" spans="1:12" x14ac:dyDescent="0.25">
      <c r="A806" s="62">
        <v>46050</v>
      </c>
      <c r="B806" s="50"/>
      <c r="C806" s="53">
        <f t="shared" ref="C806:K806" si="58">C701</f>
        <v>4.8099999999999996</v>
      </c>
      <c r="D806" s="53">
        <f t="shared" si="58"/>
        <v>80.010000000000005</v>
      </c>
      <c r="E806" s="53">
        <f t="shared" si="58"/>
        <v>1.78</v>
      </c>
      <c r="F806" s="53">
        <f t="shared" si="58"/>
        <v>15.45</v>
      </c>
      <c r="G806" s="53">
        <f t="shared" si="58"/>
        <v>17.29</v>
      </c>
      <c r="H806" s="53">
        <f t="shared" si="58"/>
        <v>14.55</v>
      </c>
      <c r="I806" s="53">
        <f t="shared" si="58"/>
        <v>45.22</v>
      </c>
      <c r="J806" s="53">
        <f t="shared" si="58"/>
        <v>928.98</v>
      </c>
      <c r="K806" s="54">
        <f t="shared" si="58"/>
        <v>988734.95</v>
      </c>
      <c r="L806" s="9"/>
    </row>
    <row r="807" spans="1:12" x14ac:dyDescent="0.25">
      <c r="A807" s="62">
        <v>46051</v>
      </c>
      <c r="B807" s="50"/>
      <c r="C807" s="53">
        <f t="shared" ref="C807:K807" si="59">C726</f>
        <v>4.5199999999999996</v>
      </c>
      <c r="D807" s="53">
        <f t="shared" si="59"/>
        <v>83</v>
      </c>
      <c r="E807" s="53">
        <f t="shared" si="59"/>
        <v>1.67</v>
      </c>
      <c r="F807" s="53">
        <f t="shared" si="59"/>
        <v>7.03</v>
      </c>
      <c r="G807" s="53">
        <f t="shared" si="59"/>
        <v>17.3</v>
      </c>
      <c r="H807" s="53">
        <f t="shared" si="59"/>
        <v>14.68</v>
      </c>
      <c r="I807" s="53">
        <f t="shared" si="59"/>
        <v>45.82</v>
      </c>
      <c r="J807" s="53">
        <f t="shared" si="59"/>
        <v>922.88</v>
      </c>
      <c r="K807" s="54">
        <f t="shared" si="59"/>
        <v>950236.54</v>
      </c>
      <c r="L807" s="9"/>
    </row>
    <row r="808" spans="1:12" x14ac:dyDescent="0.25">
      <c r="A808" s="62">
        <v>46052</v>
      </c>
      <c r="B808" s="50"/>
      <c r="C808" s="53">
        <f t="shared" ref="C808:K808" si="60">C751</f>
        <v>4.74</v>
      </c>
      <c r="D808" s="53">
        <f t="shared" si="60"/>
        <v>81.03</v>
      </c>
      <c r="E808" s="53">
        <f>E751</f>
        <v>1.6</v>
      </c>
      <c r="F808" s="53">
        <f t="shared" si="60"/>
        <v>7.02</v>
      </c>
      <c r="G808" s="53">
        <f t="shared" si="60"/>
        <v>17.38</v>
      </c>
      <c r="H808" s="53">
        <f t="shared" si="60"/>
        <v>14.55</v>
      </c>
      <c r="I808" s="53">
        <f t="shared" si="60"/>
        <v>43.51</v>
      </c>
      <c r="J808" s="53">
        <f t="shared" si="60"/>
        <v>924.42</v>
      </c>
      <c r="K808" s="54">
        <f t="shared" si="60"/>
        <v>968931.43</v>
      </c>
      <c r="L808" s="9"/>
    </row>
    <row r="809" spans="1:12" x14ac:dyDescent="0.25">
      <c r="A809" s="62">
        <v>46053</v>
      </c>
      <c r="B809" s="50"/>
      <c r="C809" s="53">
        <f t="shared" ref="C809:K809" si="61">C776</f>
        <v>9.3800000000000008</v>
      </c>
      <c r="D809" s="53">
        <f t="shared" si="61"/>
        <v>85.79</v>
      </c>
      <c r="E809" s="53">
        <f t="shared" si="61"/>
        <v>1.87</v>
      </c>
      <c r="F809" s="53">
        <f t="shared" si="61"/>
        <v>2.99</v>
      </c>
      <c r="G809" s="53">
        <f t="shared" si="61"/>
        <v>17.47</v>
      </c>
      <c r="H809" s="53">
        <f t="shared" si="61"/>
        <v>17.53</v>
      </c>
      <c r="I809" s="53">
        <f t="shared" si="61"/>
        <v>39.979999999999997</v>
      </c>
      <c r="J809" s="53">
        <f t="shared" si="61"/>
        <v>931.95</v>
      </c>
      <c r="K809" s="54">
        <f t="shared" si="61"/>
        <v>1006511.23</v>
      </c>
      <c r="L809" s="9"/>
    </row>
    <row r="810" spans="1:12" ht="15.75" thickBot="1" x14ac:dyDescent="0.3">
      <c r="A810" s="41" t="s">
        <v>44</v>
      </c>
      <c r="B810" s="55"/>
      <c r="C810" s="56">
        <f t="shared" ref="C810:K810" si="62">IFERROR(ROUND(AVERAGE(C779:C809), 3), "")</f>
        <v>5.9649999999999999</v>
      </c>
      <c r="D810" s="56">
        <f t="shared" si="62"/>
        <v>74.537000000000006</v>
      </c>
      <c r="E810" s="56">
        <f t="shared" si="62"/>
        <v>1.9950000000000001</v>
      </c>
      <c r="F810" s="56">
        <f t="shared" si="62"/>
        <v>5.625</v>
      </c>
      <c r="G810" s="56">
        <f t="shared" si="62"/>
        <v>17.41</v>
      </c>
      <c r="H810" s="56">
        <f t="shared" si="62"/>
        <v>14.196999999999999</v>
      </c>
      <c r="I810" s="56">
        <f t="shared" si="62"/>
        <v>38.015000000000001</v>
      </c>
      <c r="J810" s="56">
        <f t="shared" si="62"/>
        <v>938.04399999999998</v>
      </c>
      <c r="K810" s="56">
        <f t="shared" si="62"/>
        <v>945567.73300000001</v>
      </c>
      <c r="L810" s="4"/>
    </row>
    <row r="811" spans="1:12" x14ac:dyDescent="0.25">
      <c r="B811" s="13"/>
      <c r="J811" s="63" t="s">
        <v>0</v>
      </c>
      <c r="K811" s="6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OFHiobTp2R1mx0avjacCbBOrXmLwyx878S6Np8P5c3rjBlbFszqRU4zA4OCUKVl6d5e81R0feMU6tPSGvUp/MA==" saltValue="xbiLNcwg57+mkusFkkY1f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F2892-724C-4622-9DA1-7863A4DDD822}">
  <sheetPr codeName="Sheet2"/>
  <dimension ref="A1:L1475"/>
  <sheetViews>
    <sheetView workbookViewId="0">
      <pane ySplit="1" topLeftCell="A2" activePane="bottomLeft" state="frozen"/>
      <selection pane="bottomLeft" activeCell="O16" sqref="O16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7">
        <v>46023</v>
      </c>
      <c r="B2" s="14">
        <v>0</v>
      </c>
      <c r="C2" s="15"/>
      <c r="D2" s="15"/>
      <c r="E2" s="15"/>
      <c r="F2" s="15"/>
      <c r="G2" s="15"/>
      <c r="H2" s="16"/>
      <c r="I2" s="16"/>
      <c r="J2" s="16"/>
      <c r="K2" s="17"/>
    </row>
    <row r="3" spans="1:12" x14ac:dyDescent="0.25">
      <c r="A3" s="58">
        <v>46023</v>
      </c>
      <c r="B3" s="18">
        <v>4.1666666666666664E-2</v>
      </c>
      <c r="C3" s="19"/>
      <c r="D3" s="19"/>
      <c r="E3" s="19"/>
      <c r="F3" s="19"/>
      <c r="G3" s="19"/>
      <c r="H3" s="20"/>
      <c r="I3" s="20"/>
      <c r="J3" s="20"/>
      <c r="K3" s="21"/>
      <c r="L3" s="2"/>
    </row>
    <row r="4" spans="1:12" x14ac:dyDescent="0.25">
      <c r="A4" s="58">
        <v>46023</v>
      </c>
      <c r="B4" s="18">
        <v>8.3333333333333329E-2</v>
      </c>
      <c r="C4" s="19"/>
      <c r="D4" s="19"/>
      <c r="E4" s="19"/>
      <c r="F4" s="19"/>
      <c r="G4" s="19"/>
      <c r="H4" s="20"/>
      <c r="I4" s="20"/>
      <c r="J4" s="20"/>
      <c r="K4" s="21"/>
      <c r="L4" s="2"/>
    </row>
    <row r="5" spans="1:12" x14ac:dyDescent="0.25">
      <c r="A5" s="58">
        <v>46023</v>
      </c>
      <c r="B5" s="18">
        <v>0.125</v>
      </c>
      <c r="C5" s="19"/>
      <c r="D5" s="19"/>
      <c r="E5" s="19"/>
      <c r="F5" s="19"/>
      <c r="G5" s="19"/>
      <c r="H5" s="20"/>
      <c r="I5" s="20"/>
      <c r="J5" s="20"/>
      <c r="K5" s="21"/>
      <c r="L5" s="2"/>
    </row>
    <row r="6" spans="1:12" x14ac:dyDescent="0.25">
      <c r="A6" s="58">
        <v>46023</v>
      </c>
      <c r="B6" s="18">
        <v>0.16666666666666666</v>
      </c>
      <c r="C6" s="19"/>
      <c r="D6" s="19"/>
      <c r="E6" s="19"/>
      <c r="F6" s="19"/>
      <c r="G6" s="19"/>
      <c r="H6" s="20"/>
      <c r="I6" s="20"/>
      <c r="J6" s="20"/>
      <c r="K6" s="21"/>
      <c r="L6" s="2"/>
    </row>
    <row r="7" spans="1:12" x14ac:dyDescent="0.25">
      <c r="A7" s="58">
        <v>46023</v>
      </c>
      <c r="B7" s="18">
        <v>0.20833333333333334</v>
      </c>
      <c r="C7" s="19"/>
      <c r="D7" s="19"/>
      <c r="E7" s="19"/>
      <c r="F7" s="19"/>
      <c r="G7" s="19"/>
      <c r="H7" s="20"/>
      <c r="I7" s="20"/>
      <c r="J7" s="20"/>
      <c r="K7" s="21"/>
      <c r="L7" s="2"/>
    </row>
    <row r="8" spans="1:12" x14ac:dyDescent="0.25">
      <c r="A8" s="58">
        <v>46023</v>
      </c>
      <c r="B8" s="18">
        <v>0.25</v>
      </c>
      <c r="C8" s="19"/>
      <c r="D8" s="19"/>
      <c r="E8" s="19"/>
      <c r="F8" s="19"/>
      <c r="G8" s="19"/>
      <c r="H8" s="20"/>
      <c r="I8" s="20"/>
      <c r="J8" s="20"/>
      <c r="K8" s="21"/>
      <c r="L8" s="2"/>
    </row>
    <row r="9" spans="1:12" x14ac:dyDescent="0.25">
      <c r="A9" s="58">
        <v>46023</v>
      </c>
      <c r="B9" s="18">
        <v>0.29166666666666669</v>
      </c>
      <c r="C9" s="19"/>
      <c r="D9" s="19"/>
      <c r="E9" s="19"/>
      <c r="F9" s="19"/>
      <c r="G9" s="19"/>
      <c r="H9" s="20"/>
      <c r="I9" s="20"/>
      <c r="J9" s="20"/>
      <c r="K9" s="21"/>
      <c r="L9" s="2"/>
    </row>
    <row r="10" spans="1:12" x14ac:dyDescent="0.25">
      <c r="A10" s="58">
        <v>46023</v>
      </c>
      <c r="B10" s="18">
        <v>0.33333333333333331</v>
      </c>
      <c r="C10" s="19"/>
      <c r="D10" s="19"/>
      <c r="E10" s="19"/>
      <c r="F10" s="19"/>
      <c r="G10" s="19"/>
      <c r="H10" s="20"/>
      <c r="I10" s="20"/>
      <c r="J10" s="20"/>
      <c r="K10" s="21"/>
      <c r="L10" s="2"/>
    </row>
    <row r="11" spans="1:12" x14ac:dyDescent="0.25">
      <c r="A11" s="58">
        <v>46023</v>
      </c>
      <c r="B11" s="18">
        <v>0.375</v>
      </c>
      <c r="C11" s="19"/>
      <c r="D11" s="19"/>
      <c r="E11" s="19"/>
      <c r="F11" s="19"/>
      <c r="G11" s="19"/>
      <c r="H11" s="20"/>
      <c r="I11" s="20"/>
      <c r="J11" s="20"/>
      <c r="K11" s="21"/>
      <c r="L11" s="2"/>
    </row>
    <row r="12" spans="1:12" x14ac:dyDescent="0.25">
      <c r="A12" s="58">
        <v>46023</v>
      </c>
      <c r="B12" s="18">
        <v>0.41666666666666669</v>
      </c>
      <c r="C12" s="19"/>
      <c r="D12" s="19"/>
      <c r="E12" s="19"/>
      <c r="F12" s="19"/>
      <c r="G12" s="19"/>
      <c r="H12" s="20"/>
      <c r="I12" s="20"/>
      <c r="J12" s="20"/>
      <c r="K12" s="21"/>
      <c r="L12" s="2"/>
    </row>
    <row r="13" spans="1:12" x14ac:dyDescent="0.25">
      <c r="A13" s="58">
        <v>46023</v>
      </c>
      <c r="B13" s="18">
        <v>0.45833333333333331</v>
      </c>
      <c r="C13" s="19"/>
      <c r="D13" s="19"/>
      <c r="E13" s="19"/>
      <c r="F13" s="19"/>
      <c r="G13" s="19"/>
      <c r="H13" s="20"/>
      <c r="I13" s="20"/>
      <c r="J13" s="20"/>
      <c r="K13" s="21"/>
      <c r="L13" s="2"/>
    </row>
    <row r="14" spans="1:12" x14ac:dyDescent="0.25">
      <c r="A14" s="58">
        <v>46023</v>
      </c>
      <c r="B14" s="18">
        <v>0.5</v>
      </c>
      <c r="C14" s="19"/>
      <c r="D14" s="19"/>
      <c r="E14" s="19"/>
      <c r="F14" s="19"/>
      <c r="G14" s="19"/>
      <c r="H14" s="20"/>
      <c r="I14" s="20"/>
      <c r="J14" s="20"/>
      <c r="K14" s="21"/>
      <c r="L14" s="2"/>
    </row>
    <row r="15" spans="1:12" x14ac:dyDescent="0.25">
      <c r="A15" s="58">
        <v>46023</v>
      </c>
      <c r="B15" s="18">
        <v>0.54166666666666663</v>
      </c>
      <c r="C15" s="19"/>
      <c r="D15" s="19"/>
      <c r="E15" s="19"/>
      <c r="F15" s="19"/>
      <c r="G15" s="19"/>
      <c r="H15" s="20"/>
      <c r="I15" s="20"/>
      <c r="J15" s="20"/>
      <c r="K15" s="21"/>
      <c r="L15" s="2"/>
    </row>
    <row r="16" spans="1:12" x14ac:dyDescent="0.25">
      <c r="A16" s="58">
        <v>46023</v>
      </c>
      <c r="B16" s="18">
        <v>0.58333333333333337</v>
      </c>
      <c r="C16" s="19"/>
      <c r="D16" s="19"/>
      <c r="E16" s="19"/>
      <c r="F16" s="19"/>
      <c r="G16" s="19"/>
      <c r="H16" s="20"/>
      <c r="I16" s="20"/>
      <c r="J16" s="20"/>
      <c r="K16" s="21"/>
      <c r="L16" s="2"/>
    </row>
    <row r="17" spans="1:12" x14ac:dyDescent="0.25">
      <c r="A17" s="58">
        <v>46023</v>
      </c>
      <c r="B17" s="18">
        <v>0.625</v>
      </c>
      <c r="C17" s="19"/>
      <c r="D17" s="19"/>
      <c r="E17" s="19"/>
      <c r="F17" s="19"/>
      <c r="G17" s="19"/>
      <c r="H17" s="20"/>
      <c r="I17" s="20"/>
      <c r="J17" s="20"/>
      <c r="K17" s="21"/>
      <c r="L17" s="2"/>
    </row>
    <row r="18" spans="1:12" x14ac:dyDescent="0.25">
      <c r="A18" s="58">
        <v>46023</v>
      </c>
      <c r="B18" s="18">
        <v>0.66666666666666663</v>
      </c>
      <c r="C18" s="19"/>
      <c r="D18" s="19"/>
      <c r="E18" s="19"/>
      <c r="F18" s="19"/>
      <c r="G18" s="19"/>
      <c r="H18" s="20"/>
      <c r="I18" s="20"/>
      <c r="J18" s="20"/>
      <c r="K18" s="21"/>
      <c r="L18" s="2"/>
    </row>
    <row r="19" spans="1:12" x14ac:dyDescent="0.25">
      <c r="A19" s="58">
        <v>46023</v>
      </c>
      <c r="B19" s="18">
        <v>0.70833333333333337</v>
      </c>
      <c r="C19" s="19"/>
      <c r="D19" s="19"/>
      <c r="E19" s="19"/>
      <c r="F19" s="19"/>
      <c r="G19" s="19"/>
      <c r="H19" s="20"/>
      <c r="I19" s="20"/>
      <c r="J19" s="20"/>
      <c r="K19" s="21"/>
      <c r="L19" s="2"/>
    </row>
    <row r="20" spans="1:12" x14ac:dyDescent="0.25">
      <c r="A20" s="58">
        <v>46023</v>
      </c>
      <c r="B20" s="18">
        <v>0.75</v>
      </c>
      <c r="C20" s="19"/>
      <c r="D20" s="19"/>
      <c r="E20" s="19"/>
      <c r="F20" s="19"/>
      <c r="G20" s="19"/>
      <c r="H20" s="20"/>
      <c r="I20" s="20"/>
      <c r="J20" s="20"/>
      <c r="K20" s="21"/>
      <c r="L20" s="2"/>
    </row>
    <row r="21" spans="1:12" x14ac:dyDescent="0.25">
      <c r="A21" s="58">
        <v>46023</v>
      </c>
      <c r="B21" s="18">
        <v>0.79166666666666663</v>
      </c>
      <c r="C21" s="19"/>
      <c r="D21" s="19"/>
      <c r="E21" s="19"/>
      <c r="F21" s="19"/>
      <c r="G21" s="19"/>
      <c r="H21" s="20"/>
      <c r="I21" s="20"/>
      <c r="J21" s="20"/>
      <c r="K21" s="21"/>
      <c r="L21" s="2"/>
    </row>
    <row r="22" spans="1:12" x14ac:dyDescent="0.25">
      <c r="A22" s="58">
        <v>46023</v>
      </c>
      <c r="B22" s="18">
        <v>0.83333333333333337</v>
      </c>
      <c r="C22" s="19"/>
      <c r="D22" s="19"/>
      <c r="E22" s="19"/>
      <c r="F22" s="19"/>
      <c r="G22" s="19"/>
      <c r="H22" s="20"/>
      <c r="I22" s="20"/>
      <c r="J22" s="20"/>
      <c r="K22" s="21"/>
      <c r="L22" s="2"/>
    </row>
    <row r="23" spans="1:12" x14ac:dyDescent="0.25">
      <c r="A23" s="58">
        <v>46023</v>
      </c>
      <c r="B23" s="18">
        <v>0.875</v>
      </c>
      <c r="C23" s="19"/>
      <c r="D23" s="19"/>
      <c r="E23" s="19"/>
      <c r="F23" s="19"/>
      <c r="G23" s="19"/>
      <c r="H23" s="20"/>
      <c r="I23" s="20"/>
      <c r="J23" s="20"/>
      <c r="K23" s="21"/>
      <c r="L23" s="2"/>
    </row>
    <row r="24" spans="1:12" x14ac:dyDescent="0.25">
      <c r="A24" s="58">
        <v>46023</v>
      </c>
      <c r="B24" s="18">
        <v>0.91666666666666663</v>
      </c>
      <c r="C24" s="19"/>
      <c r="D24" s="19"/>
      <c r="E24" s="19"/>
      <c r="F24" s="19"/>
      <c r="G24" s="19"/>
      <c r="H24" s="20"/>
      <c r="I24" s="20"/>
      <c r="J24" s="20"/>
      <c r="K24" s="21"/>
      <c r="L24" s="2"/>
    </row>
    <row r="25" spans="1:12" ht="15.75" thickBot="1" x14ac:dyDescent="0.3">
      <c r="A25" s="59">
        <v>46023</v>
      </c>
      <c r="B25" s="22">
        <v>0.95833333333333337</v>
      </c>
      <c r="C25" s="23"/>
      <c r="D25" s="23"/>
      <c r="E25" s="23"/>
      <c r="F25" s="23"/>
      <c r="G25" s="23"/>
      <c r="H25" s="24"/>
      <c r="I25" s="24"/>
      <c r="J25" s="24"/>
      <c r="K25" s="25"/>
      <c r="L25" s="2"/>
    </row>
    <row r="26" spans="1:12" ht="15.75" thickBot="1" x14ac:dyDescent="0.3">
      <c r="A26" s="26" t="s">
        <v>12</v>
      </c>
      <c r="B26" s="43"/>
      <c r="C26" s="27" t="str">
        <f t="shared" ref="C26:K26" si="0">IFERROR(ROUND(AVERAGE(C2:C25), 2), "")</f>
        <v/>
      </c>
      <c r="D26" s="27" t="str">
        <f t="shared" si="0"/>
        <v/>
      </c>
      <c r="E26" s="27" t="str">
        <f t="shared" si="0"/>
        <v/>
      </c>
      <c r="F26" s="27" t="str">
        <f t="shared" si="0"/>
        <v/>
      </c>
      <c r="G26" s="27" t="str">
        <f t="shared" si="0"/>
        <v/>
      </c>
      <c r="H26" s="27" t="str">
        <f t="shared" si="0"/>
        <v/>
      </c>
      <c r="I26" s="27" t="str">
        <f t="shared" si="0"/>
        <v/>
      </c>
      <c r="J26" s="27" t="str">
        <f t="shared" si="0"/>
        <v/>
      </c>
      <c r="K26" s="28" t="str">
        <f t="shared" si="0"/>
        <v/>
      </c>
      <c r="L26" s="7"/>
    </row>
    <row r="27" spans="1:12" x14ac:dyDescent="0.25">
      <c r="A27" s="57">
        <v>46024</v>
      </c>
      <c r="B27" s="14">
        <v>0</v>
      </c>
      <c r="C27" s="16"/>
      <c r="D27" s="16"/>
      <c r="E27" s="16"/>
      <c r="F27" s="16"/>
      <c r="G27" s="16"/>
      <c r="H27" s="16"/>
      <c r="I27" s="16"/>
      <c r="J27" s="16"/>
      <c r="K27" s="31"/>
      <c r="L27" s="1"/>
    </row>
    <row r="28" spans="1:12" x14ac:dyDescent="0.25">
      <c r="A28" s="58">
        <v>46024</v>
      </c>
      <c r="B28" s="18">
        <v>4.1666666666666664E-2</v>
      </c>
      <c r="C28" s="20"/>
      <c r="D28" s="20"/>
      <c r="E28" s="20"/>
      <c r="F28" s="20"/>
      <c r="G28" s="20"/>
      <c r="H28" s="20"/>
      <c r="I28" s="20"/>
      <c r="J28" s="20"/>
      <c r="K28" s="32"/>
      <c r="L28" s="1"/>
    </row>
    <row r="29" spans="1:12" x14ac:dyDescent="0.25">
      <c r="A29" s="58">
        <v>46024</v>
      </c>
      <c r="B29" s="18">
        <v>8.3333333333333329E-2</v>
      </c>
      <c r="C29" s="20"/>
      <c r="D29" s="20"/>
      <c r="E29" s="20"/>
      <c r="F29" s="20"/>
      <c r="G29" s="20"/>
      <c r="H29" s="20"/>
      <c r="I29" s="20"/>
      <c r="J29" s="20"/>
      <c r="K29" s="32"/>
      <c r="L29" s="1"/>
    </row>
    <row r="30" spans="1:12" x14ac:dyDescent="0.25">
      <c r="A30" s="58">
        <v>46024</v>
      </c>
      <c r="B30" s="18">
        <v>0.125</v>
      </c>
      <c r="C30" s="20"/>
      <c r="D30" s="20"/>
      <c r="E30" s="20"/>
      <c r="F30" s="20"/>
      <c r="G30" s="20"/>
      <c r="H30" s="20"/>
      <c r="I30" s="20"/>
      <c r="J30" s="20"/>
      <c r="K30" s="32"/>
      <c r="L30" s="1"/>
    </row>
    <row r="31" spans="1:12" x14ac:dyDescent="0.25">
      <c r="A31" s="58">
        <v>46024</v>
      </c>
      <c r="B31" s="18">
        <v>0.16666666666666666</v>
      </c>
      <c r="C31" s="20"/>
      <c r="D31" s="20"/>
      <c r="E31" s="20"/>
      <c r="F31" s="20"/>
      <c r="G31" s="20"/>
      <c r="H31" s="20"/>
      <c r="I31" s="20"/>
      <c r="J31" s="20"/>
      <c r="K31" s="32"/>
      <c r="L31" s="1"/>
    </row>
    <row r="32" spans="1:12" x14ac:dyDescent="0.25">
      <c r="A32" s="58">
        <v>46024</v>
      </c>
      <c r="B32" s="18">
        <v>0.20833333333333334</v>
      </c>
      <c r="C32" s="20"/>
      <c r="D32" s="20"/>
      <c r="E32" s="20"/>
      <c r="F32" s="20"/>
      <c r="G32" s="20"/>
      <c r="H32" s="20"/>
      <c r="I32" s="20"/>
      <c r="J32" s="20"/>
      <c r="K32" s="32"/>
      <c r="L32" s="1"/>
    </row>
    <row r="33" spans="1:12" x14ac:dyDescent="0.25">
      <c r="A33" s="58">
        <v>46024</v>
      </c>
      <c r="B33" s="18">
        <v>0.25</v>
      </c>
      <c r="C33" s="20"/>
      <c r="D33" s="20"/>
      <c r="E33" s="20"/>
      <c r="F33" s="20"/>
      <c r="G33" s="20"/>
      <c r="H33" s="20"/>
      <c r="I33" s="20"/>
      <c r="J33" s="20"/>
      <c r="K33" s="32"/>
      <c r="L33" s="1"/>
    </row>
    <row r="34" spans="1:12" x14ac:dyDescent="0.25">
      <c r="A34" s="58">
        <v>46024</v>
      </c>
      <c r="B34" s="18">
        <v>0.29166666666666669</v>
      </c>
      <c r="C34" s="20"/>
      <c r="D34" s="20"/>
      <c r="E34" s="20"/>
      <c r="F34" s="20"/>
      <c r="G34" s="20"/>
      <c r="H34" s="20"/>
      <c r="I34" s="20"/>
      <c r="J34" s="20"/>
      <c r="K34" s="32"/>
      <c r="L34" s="1"/>
    </row>
    <row r="35" spans="1:12" x14ac:dyDescent="0.25">
      <c r="A35" s="58">
        <v>46024</v>
      </c>
      <c r="B35" s="18">
        <v>0.33333333333333331</v>
      </c>
      <c r="C35" s="20"/>
      <c r="D35" s="20"/>
      <c r="E35" s="20"/>
      <c r="F35" s="20"/>
      <c r="G35" s="20"/>
      <c r="H35" s="20"/>
      <c r="I35" s="20"/>
      <c r="J35" s="20"/>
      <c r="K35" s="32"/>
      <c r="L35" s="1"/>
    </row>
    <row r="36" spans="1:12" x14ac:dyDescent="0.25">
      <c r="A36" s="58">
        <v>46024</v>
      </c>
      <c r="B36" s="18">
        <v>0.375</v>
      </c>
      <c r="C36" s="20"/>
      <c r="D36" s="20"/>
      <c r="E36" s="20"/>
      <c r="F36" s="20"/>
      <c r="G36" s="20"/>
      <c r="H36" s="20"/>
      <c r="I36" s="20"/>
      <c r="J36" s="20"/>
      <c r="K36" s="32"/>
      <c r="L36" s="1"/>
    </row>
    <row r="37" spans="1:12" x14ac:dyDescent="0.25">
      <c r="A37" s="58">
        <v>46024</v>
      </c>
      <c r="B37" s="18">
        <v>0.41666666666666669</v>
      </c>
      <c r="C37" s="20"/>
      <c r="D37" s="20"/>
      <c r="E37" s="20"/>
      <c r="F37" s="20"/>
      <c r="G37" s="20"/>
      <c r="H37" s="20"/>
      <c r="I37" s="20"/>
      <c r="J37" s="20"/>
      <c r="K37" s="32"/>
      <c r="L37" s="1"/>
    </row>
    <row r="38" spans="1:12" x14ac:dyDescent="0.25">
      <c r="A38" s="58">
        <v>46024</v>
      </c>
      <c r="B38" s="18">
        <v>0.45833333333333331</v>
      </c>
      <c r="C38" s="20"/>
      <c r="D38" s="20"/>
      <c r="E38" s="20"/>
      <c r="F38" s="20"/>
      <c r="G38" s="20"/>
      <c r="H38" s="20"/>
      <c r="I38" s="20"/>
      <c r="J38" s="20"/>
      <c r="K38" s="32"/>
      <c r="L38" s="1"/>
    </row>
    <row r="39" spans="1:12" x14ac:dyDescent="0.25">
      <c r="A39" s="58">
        <v>46024</v>
      </c>
      <c r="B39" s="18">
        <v>0.5</v>
      </c>
      <c r="C39" s="20"/>
      <c r="D39" s="20"/>
      <c r="E39" s="20"/>
      <c r="F39" s="20"/>
      <c r="G39" s="20"/>
      <c r="H39" s="20"/>
      <c r="I39" s="20"/>
      <c r="J39" s="20"/>
      <c r="K39" s="32"/>
      <c r="L39" s="1"/>
    </row>
    <row r="40" spans="1:12" x14ac:dyDescent="0.25">
      <c r="A40" s="58">
        <v>46024</v>
      </c>
      <c r="B40" s="18">
        <v>0.54166666666666663</v>
      </c>
      <c r="C40" s="20"/>
      <c r="D40" s="20"/>
      <c r="E40" s="20"/>
      <c r="F40" s="20"/>
      <c r="G40" s="20"/>
      <c r="H40" s="20"/>
      <c r="I40" s="20"/>
      <c r="J40" s="20"/>
      <c r="K40" s="32"/>
      <c r="L40" s="1"/>
    </row>
    <row r="41" spans="1:12" x14ac:dyDescent="0.25">
      <c r="A41" s="58">
        <v>46024</v>
      </c>
      <c r="B41" s="18">
        <v>0.58333333333333337</v>
      </c>
      <c r="C41" s="20"/>
      <c r="D41" s="20"/>
      <c r="E41" s="20"/>
      <c r="F41" s="20"/>
      <c r="G41" s="20"/>
      <c r="H41" s="20"/>
      <c r="I41" s="20"/>
      <c r="J41" s="20"/>
      <c r="K41" s="32"/>
      <c r="L41" s="1"/>
    </row>
    <row r="42" spans="1:12" x14ac:dyDescent="0.25">
      <c r="A42" s="58">
        <v>46024</v>
      </c>
      <c r="B42" s="18">
        <v>0.625</v>
      </c>
      <c r="C42" s="20"/>
      <c r="D42" s="20"/>
      <c r="E42" s="20"/>
      <c r="F42" s="20"/>
      <c r="G42" s="20"/>
      <c r="H42" s="20"/>
      <c r="I42" s="20"/>
      <c r="J42" s="20"/>
      <c r="K42" s="32"/>
      <c r="L42" s="1"/>
    </row>
    <row r="43" spans="1:12" x14ac:dyDescent="0.25">
      <c r="A43" s="58">
        <v>46024</v>
      </c>
      <c r="B43" s="18">
        <v>0.66666666666666663</v>
      </c>
      <c r="C43" s="20"/>
      <c r="D43" s="20"/>
      <c r="E43" s="20"/>
      <c r="F43" s="20"/>
      <c r="G43" s="20"/>
      <c r="H43" s="20"/>
      <c r="I43" s="20"/>
      <c r="J43" s="20"/>
      <c r="K43" s="32"/>
      <c r="L43" s="1"/>
    </row>
    <row r="44" spans="1:12" x14ac:dyDescent="0.25">
      <c r="A44" s="58">
        <v>46024</v>
      </c>
      <c r="B44" s="18">
        <v>0.70833333333333337</v>
      </c>
      <c r="C44" s="20"/>
      <c r="D44" s="20"/>
      <c r="E44" s="20"/>
      <c r="F44" s="20"/>
      <c r="G44" s="20"/>
      <c r="H44" s="20"/>
      <c r="I44" s="20"/>
      <c r="J44" s="20"/>
      <c r="K44" s="32"/>
      <c r="L44" s="1"/>
    </row>
    <row r="45" spans="1:12" x14ac:dyDescent="0.25">
      <c r="A45" s="58">
        <v>46024</v>
      </c>
      <c r="B45" s="18">
        <v>0.75</v>
      </c>
      <c r="C45" s="20"/>
      <c r="D45" s="20"/>
      <c r="E45" s="20"/>
      <c r="F45" s="20"/>
      <c r="G45" s="20"/>
      <c r="H45" s="20"/>
      <c r="I45" s="20"/>
      <c r="J45" s="20"/>
      <c r="K45" s="32"/>
      <c r="L45" s="1"/>
    </row>
    <row r="46" spans="1:12" x14ac:dyDescent="0.25">
      <c r="A46" s="58">
        <v>46024</v>
      </c>
      <c r="B46" s="18">
        <v>0.79166666666666663</v>
      </c>
      <c r="C46" s="20"/>
      <c r="D46" s="20"/>
      <c r="E46" s="20"/>
      <c r="F46" s="20"/>
      <c r="G46" s="20"/>
      <c r="H46" s="20"/>
      <c r="I46" s="20"/>
      <c r="J46" s="20"/>
      <c r="K46" s="32"/>
      <c r="L46" s="1"/>
    </row>
    <row r="47" spans="1:12" x14ac:dyDescent="0.25">
      <c r="A47" s="58">
        <v>46024</v>
      </c>
      <c r="B47" s="18">
        <v>0.83333333333333337</v>
      </c>
      <c r="C47" s="20"/>
      <c r="D47" s="20"/>
      <c r="E47" s="20"/>
      <c r="F47" s="20"/>
      <c r="G47" s="20"/>
      <c r="H47" s="20"/>
      <c r="I47" s="20"/>
      <c r="J47" s="20"/>
      <c r="K47" s="32"/>
      <c r="L47" s="1"/>
    </row>
    <row r="48" spans="1:12" x14ac:dyDescent="0.25">
      <c r="A48" s="58">
        <v>46024</v>
      </c>
      <c r="B48" s="18">
        <v>0.875</v>
      </c>
      <c r="C48" s="20"/>
      <c r="D48" s="20"/>
      <c r="E48" s="20"/>
      <c r="F48" s="20"/>
      <c r="G48" s="20"/>
      <c r="H48" s="20"/>
      <c r="I48" s="20"/>
      <c r="J48" s="20"/>
      <c r="K48" s="32"/>
      <c r="L48" s="1"/>
    </row>
    <row r="49" spans="1:12" x14ac:dyDescent="0.25">
      <c r="A49" s="58">
        <v>46024</v>
      </c>
      <c r="B49" s="18">
        <v>0.91666666666666663</v>
      </c>
      <c r="C49" s="20"/>
      <c r="D49" s="20"/>
      <c r="E49" s="20"/>
      <c r="F49" s="20"/>
      <c r="G49" s="20"/>
      <c r="H49" s="20"/>
      <c r="I49" s="20"/>
      <c r="J49" s="20"/>
      <c r="K49" s="32"/>
      <c r="L49" s="1"/>
    </row>
    <row r="50" spans="1:12" ht="15.75" thickBot="1" x14ac:dyDescent="0.3">
      <c r="A50" s="59">
        <v>46024</v>
      </c>
      <c r="B50" s="22">
        <v>0.95833333333333337</v>
      </c>
      <c r="C50" s="33"/>
      <c r="D50" s="33"/>
      <c r="E50" s="33"/>
      <c r="F50" s="33"/>
      <c r="G50" s="33"/>
      <c r="H50" s="33"/>
      <c r="I50" s="33"/>
      <c r="J50" s="33"/>
      <c r="K50" s="34"/>
      <c r="L50" s="1"/>
    </row>
    <row r="51" spans="1:12" ht="15.75" thickBot="1" x14ac:dyDescent="0.3">
      <c r="A51" s="26" t="s">
        <v>13</v>
      </c>
      <c r="B51" s="44"/>
      <c r="C51" s="45" t="str">
        <f t="shared" ref="C51:K51" si="1">IFERROR(ROUND(AVERAGE(C27:C50), 2), "")</f>
        <v/>
      </c>
      <c r="D51" s="45" t="str">
        <f t="shared" si="1"/>
        <v/>
      </c>
      <c r="E51" s="45" t="str">
        <f t="shared" si="1"/>
        <v/>
      </c>
      <c r="F51" s="45" t="str">
        <f t="shared" si="1"/>
        <v/>
      </c>
      <c r="G51" s="45" t="str">
        <f t="shared" si="1"/>
        <v/>
      </c>
      <c r="H51" s="45" t="str">
        <f t="shared" si="1"/>
        <v/>
      </c>
      <c r="I51" s="45" t="str">
        <f t="shared" si="1"/>
        <v/>
      </c>
      <c r="J51" s="45" t="str">
        <f t="shared" si="1"/>
        <v/>
      </c>
      <c r="K51" s="46" t="str">
        <f t="shared" si="1"/>
        <v/>
      </c>
      <c r="L51" s="7"/>
    </row>
    <row r="52" spans="1:12" x14ac:dyDescent="0.25">
      <c r="A52" s="57">
        <v>46025</v>
      </c>
      <c r="B52" s="14">
        <v>0</v>
      </c>
      <c r="C52" s="16"/>
      <c r="D52" s="16"/>
      <c r="E52" s="16"/>
      <c r="F52" s="16"/>
      <c r="G52" s="16"/>
      <c r="H52" s="16"/>
      <c r="I52" s="16"/>
      <c r="J52" s="16"/>
      <c r="K52" s="31"/>
      <c r="L52" s="2"/>
    </row>
    <row r="53" spans="1:12" x14ac:dyDescent="0.25">
      <c r="A53" s="58">
        <v>46025</v>
      </c>
      <c r="B53" s="18">
        <v>4.1666666666666664E-2</v>
      </c>
      <c r="C53" s="20"/>
      <c r="D53" s="20"/>
      <c r="E53" s="20"/>
      <c r="F53" s="20"/>
      <c r="G53" s="20"/>
      <c r="H53" s="20"/>
      <c r="I53" s="20"/>
      <c r="J53" s="20"/>
      <c r="K53" s="32"/>
      <c r="L53" s="2"/>
    </row>
    <row r="54" spans="1:12" x14ac:dyDescent="0.25">
      <c r="A54" s="58">
        <v>46025</v>
      </c>
      <c r="B54" s="18">
        <v>8.3333333333333329E-2</v>
      </c>
      <c r="C54" s="20"/>
      <c r="D54" s="20"/>
      <c r="E54" s="20"/>
      <c r="F54" s="20"/>
      <c r="G54" s="20"/>
      <c r="H54" s="20"/>
      <c r="I54" s="20"/>
      <c r="J54" s="20"/>
      <c r="K54" s="32"/>
      <c r="L54" s="2"/>
    </row>
    <row r="55" spans="1:12" x14ac:dyDescent="0.25">
      <c r="A55" s="58">
        <v>46025</v>
      </c>
      <c r="B55" s="18">
        <v>0.125</v>
      </c>
      <c r="C55" s="20"/>
      <c r="D55" s="20"/>
      <c r="E55" s="20"/>
      <c r="F55" s="20"/>
      <c r="G55" s="20"/>
      <c r="H55" s="20"/>
      <c r="I55" s="20"/>
      <c r="J55" s="20"/>
      <c r="K55" s="32"/>
      <c r="L55" s="2"/>
    </row>
    <row r="56" spans="1:12" x14ac:dyDescent="0.25">
      <c r="A56" s="58">
        <v>46025</v>
      </c>
      <c r="B56" s="18">
        <v>0.16666666666666666</v>
      </c>
      <c r="C56" s="20"/>
      <c r="D56" s="20"/>
      <c r="E56" s="20"/>
      <c r="F56" s="20"/>
      <c r="G56" s="20"/>
      <c r="H56" s="20"/>
      <c r="I56" s="20"/>
      <c r="J56" s="20"/>
      <c r="K56" s="32"/>
      <c r="L56" s="2"/>
    </row>
    <row r="57" spans="1:12" x14ac:dyDescent="0.25">
      <c r="A57" s="58">
        <v>46025</v>
      </c>
      <c r="B57" s="18">
        <v>0.20833333333333334</v>
      </c>
      <c r="C57" s="20"/>
      <c r="D57" s="20"/>
      <c r="E57" s="20"/>
      <c r="F57" s="20"/>
      <c r="G57" s="20"/>
      <c r="H57" s="20"/>
      <c r="I57" s="20"/>
      <c r="J57" s="20"/>
      <c r="K57" s="32"/>
      <c r="L57" s="2"/>
    </row>
    <row r="58" spans="1:12" x14ac:dyDescent="0.25">
      <c r="A58" s="58">
        <v>46025</v>
      </c>
      <c r="B58" s="18">
        <v>0.25</v>
      </c>
      <c r="C58" s="20"/>
      <c r="D58" s="20"/>
      <c r="E58" s="20"/>
      <c r="F58" s="20"/>
      <c r="G58" s="20"/>
      <c r="H58" s="20"/>
      <c r="I58" s="20"/>
      <c r="J58" s="20"/>
      <c r="K58" s="32"/>
      <c r="L58" s="2"/>
    </row>
    <row r="59" spans="1:12" x14ac:dyDescent="0.25">
      <c r="A59" s="58">
        <v>46025</v>
      </c>
      <c r="B59" s="18">
        <v>0.29166666666666669</v>
      </c>
      <c r="C59" s="20"/>
      <c r="D59" s="20"/>
      <c r="E59" s="20"/>
      <c r="F59" s="20"/>
      <c r="G59" s="20"/>
      <c r="H59" s="20"/>
      <c r="I59" s="20"/>
      <c r="J59" s="20"/>
      <c r="K59" s="32"/>
      <c r="L59" s="2"/>
    </row>
    <row r="60" spans="1:12" x14ac:dyDescent="0.25">
      <c r="A60" s="58">
        <v>46025</v>
      </c>
      <c r="B60" s="18">
        <v>0.33333333333333331</v>
      </c>
      <c r="C60" s="20"/>
      <c r="D60" s="20"/>
      <c r="E60" s="20"/>
      <c r="F60" s="20"/>
      <c r="G60" s="20"/>
      <c r="H60" s="20"/>
      <c r="I60" s="20"/>
      <c r="J60" s="20"/>
      <c r="K60" s="32"/>
      <c r="L60" s="2"/>
    </row>
    <row r="61" spans="1:12" x14ac:dyDescent="0.25">
      <c r="A61" s="58">
        <v>46025</v>
      </c>
      <c r="B61" s="18">
        <v>0.375</v>
      </c>
      <c r="C61" s="20"/>
      <c r="D61" s="20"/>
      <c r="E61" s="20"/>
      <c r="F61" s="20"/>
      <c r="G61" s="20"/>
      <c r="H61" s="20"/>
      <c r="I61" s="20"/>
      <c r="J61" s="20"/>
      <c r="K61" s="32"/>
      <c r="L61" s="2"/>
    </row>
    <row r="62" spans="1:12" x14ac:dyDescent="0.25">
      <c r="A62" s="58">
        <v>46025</v>
      </c>
      <c r="B62" s="18">
        <v>0.41666666666666669</v>
      </c>
      <c r="C62" s="20"/>
      <c r="D62" s="20"/>
      <c r="E62" s="20"/>
      <c r="F62" s="20"/>
      <c r="G62" s="20"/>
      <c r="H62" s="20"/>
      <c r="I62" s="20"/>
      <c r="J62" s="20"/>
      <c r="K62" s="32"/>
      <c r="L62" s="2"/>
    </row>
    <row r="63" spans="1:12" x14ac:dyDescent="0.25">
      <c r="A63" s="58">
        <v>46025</v>
      </c>
      <c r="B63" s="18">
        <v>0.45833333333333331</v>
      </c>
      <c r="C63" s="20"/>
      <c r="D63" s="20"/>
      <c r="E63" s="20"/>
      <c r="F63" s="20"/>
      <c r="G63" s="20"/>
      <c r="H63" s="20"/>
      <c r="I63" s="20"/>
      <c r="J63" s="20"/>
      <c r="K63" s="32"/>
      <c r="L63" s="2"/>
    </row>
    <row r="64" spans="1:12" x14ac:dyDescent="0.25">
      <c r="A64" s="58">
        <v>46025</v>
      </c>
      <c r="B64" s="18">
        <v>0.5</v>
      </c>
      <c r="C64" s="20"/>
      <c r="D64" s="20"/>
      <c r="E64" s="20"/>
      <c r="F64" s="20"/>
      <c r="G64" s="20"/>
      <c r="H64" s="20"/>
      <c r="I64" s="20"/>
      <c r="J64" s="20"/>
      <c r="K64" s="32"/>
      <c r="L64" s="2"/>
    </row>
    <row r="65" spans="1:12" x14ac:dyDescent="0.25">
      <c r="A65" s="58">
        <v>46025</v>
      </c>
      <c r="B65" s="18">
        <v>0.54166666666666663</v>
      </c>
      <c r="C65" s="20"/>
      <c r="D65" s="20"/>
      <c r="E65" s="20"/>
      <c r="F65" s="20"/>
      <c r="G65" s="20"/>
      <c r="H65" s="20"/>
      <c r="I65" s="20"/>
      <c r="J65" s="20"/>
      <c r="K65" s="32"/>
      <c r="L65" s="2"/>
    </row>
    <row r="66" spans="1:12" x14ac:dyDescent="0.25">
      <c r="A66" s="58">
        <v>46025</v>
      </c>
      <c r="B66" s="18">
        <v>0.58333333333333337</v>
      </c>
      <c r="C66" s="20"/>
      <c r="D66" s="20"/>
      <c r="E66" s="20"/>
      <c r="F66" s="20"/>
      <c r="G66" s="20"/>
      <c r="H66" s="20"/>
      <c r="I66" s="20"/>
      <c r="J66" s="20"/>
      <c r="K66" s="32"/>
      <c r="L66" s="2"/>
    </row>
    <row r="67" spans="1:12" x14ac:dyDescent="0.25">
      <c r="A67" s="58">
        <v>46025</v>
      </c>
      <c r="B67" s="18">
        <v>0.625</v>
      </c>
      <c r="C67" s="20"/>
      <c r="D67" s="20"/>
      <c r="E67" s="20"/>
      <c r="F67" s="20"/>
      <c r="G67" s="20"/>
      <c r="H67" s="20"/>
      <c r="I67" s="20"/>
      <c r="J67" s="20"/>
      <c r="K67" s="32"/>
      <c r="L67" s="2"/>
    </row>
    <row r="68" spans="1:12" x14ac:dyDescent="0.25">
      <c r="A68" s="58">
        <v>46025</v>
      </c>
      <c r="B68" s="18">
        <v>0.66666666666666663</v>
      </c>
      <c r="C68" s="20"/>
      <c r="D68" s="20"/>
      <c r="E68" s="20"/>
      <c r="F68" s="20"/>
      <c r="G68" s="20"/>
      <c r="H68" s="20"/>
      <c r="I68" s="20"/>
      <c r="J68" s="20"/>
      <c r="K68" s="32"/>
      <c r="L68" s="2"/>
    </row>
    <row r="69" spans="1:12" x14ac:dyDescent="0.25">
      <c r="A69" s="58">
        <v>46025</v>
      </c>
      <c r="B69" s="18">
        <v>0.70833333333333337</v>
      </c>
      <c r="C69" s="20"/>
      <c r="D69" s="20"/>
      <c r="E69" s="20"/>
      <c r="F69" s="20"/>
      <c r="G69" s="20"/>
      <c r="H69" s="20"/>
      <c r="I69" s="20"/>
      <c r="J69" s="20"/>
      <c r="K69" s="32"/>
      <c r="L69" s="2"/>
    </row>
    <row r="70" spans="1:12" x14ac:dyDescent="0.25">
      <c r="A70" s="58">
        <v>46025</v>
      </c>
      <c r="B70" s="18">
        <v>0.75</v>
      </c>
      <c r="C70" s="20"/>
      <c r="D70" s="20"/>
      <c r="E70" s="20"/>
      <c r="F70" s="20"/>
      <c r="G70" s="20"/>
      <c r="H70" s="20"/>
      <c r="I70" s="20"/>
      <c r="J70" s="20"/>
      <c r="K70" s="32"/>
      <c r="L70" s="2"/>
    </row>
    <row r="71" spans="1:12" x14ac:dyDescent="0.25">
      <c r="A71" s="58">
        <v>46025</v>
      </c>
      <c r="B71" s="18">
        <v>0.79166666666666663</v>
      </c>
      <c r="C71" s="20"/>
      <c r="D71" s="20"/>
      <c r="E71" s="20"/>
      <c r="F71" s="20"/>
      <c r="G71" s="20"/>
      <c r="H71" s="20"/>
      <c r="I71" s="20"/>
      <c r="J71" s="20"/>
      <c r="K71" s="32"/>
      <c r="L71" s="2"/>
    </row>
    <row r="72" spans="1:12" x14ac:dyDescent="0.25">
      <c r="A72" s="58">
        <v>46025</v>
      </c>
      <c r="B72" s="18">
        <v>0.83333333333333337</v>
      </c>
      <c r="C72" s="20"/>
      <c r="D72" s="20"/>
      <c r="E72" s="20"/>
      <c r="F72" s="20"/>
      <c r="G72" s="20"/>
      <c r="H72" s="20"/>
      <c r="I72" s="20"/>
      <c r="J72" s="20"/>
      <c r="K72" s="32"/>
      <c r="L72" s="2"/>
    </row>
    <row r="73" spans="1:12" x14ac:dyDescent="0.25">
      <c r="A73" s="58">
        <v>46025</v>
      </c>
      <c r="B73" s="18">
        <v>0.875</v>
      </c>
      <c r="C73" s="20"/>
      <c r="D73" s="20"/>
      <c r="E73" s="20"/>
      <c r="F73" s="20"/>
      <c r="G73" s="20"/>
      <c r="H73" s="20"/>
      <c r="I73" s="20"/>
      <c r="J73" s="20"/>
      <c r="K73" s="32"/>
      <c r="L73" s="2"/>
    </row>
    <row r="74" spans="1:12" x14ac:dyDescent="0.25">
      <c r="A74" s="58">
        <v>46025</v>
      </c>
      <c r="B74" s="18">
        <v>0.91666666666666663</v>
      </c>
      <c r="C74" s="20"/>
      <c r="D74" s="20"/>
      <c r="E74" s="20"/>
      <c r="F74" s="20"/>
      <c r="G74" s="20"/>
      <c r="H74" s="20"/>
      <c r="I74" s="20"/>
      <c r="J74" s="20"/>
      <c r="K74" s="32"/>
      <c r="L74" s="2"/>
    </row>
    <row r="75" spans="1:12" ht="15.75" thickBot="1" x14ac:dyDescent="0.3">
      <c r="A75" s="60">
        <v>46025</v>
      </c>
      <c r="B75" s="35">
        <v>0.95833333333333337</v>
      </c>
      <c r="C75" s="24"/>
      <c r="D75" s="24"/>
      <c r="E75" s="24"/>
      <c r="F75" s="24"/>
      <c r="G75" s="24"/>
      <c r="H75" s="24"/>
      <c r="I75" s="24"/>
      <c r="J75" s="24"/>
      <c r="K75" s="36"/>
      <c r="L75" s="2"/>
    </row>
    <row r="76" spans="1:12" ht="15.75" thickBot="1" x14ac:dyDescent="0.3">
      <c r="A76" s="26" t="s">
        <v>14</v>
      </c>
      <c r="B76" s="44"/>
      <c r="C76" s="45" t="str">
        <f t="shared" ref="C76:K76" si="2">IFERROR(ROUND(AVERAGE(C52:C75), 2), "")</f>
        <v/>
      </c>
      <c r="D76" s="45" t="str">
        <f t="shared" si="2"/>
        <v/>
      </c>
      <c r="E76" s="45" t="str">
        <f t="shared" si="2"/>
        <v/>
      </c>
      <c r="F76" s="45" t="str">
        <f t="shared" si="2"/>
        <v/>
      </c>
      <c r="G76" s="45" t="str">
        <f t="shared" si="2"/>
        <v/>
      </c>
      <c r="H76" s="45" t="str">
        <f t="shared" si="2"/>
        <v/>
      </c>
      <c r="I76" s="45" t="str">
        <f t="shared" si="2"/>
        <v/>
      </c>
      <c r="J76" s="45" t="str">
        <f t="shared" si="2"/>
        <v/>
      </c>
      <c r="K76" s="46" t="str">
        <f t="shared" si="2"/>
        <v/>
      </c>
      <c r="L76" s="7"/>
    </row>
    <row r="77" spans="1:12" x14ac:dyDescent="0.25">
      <c r="A77" s="57">
        <v>46026</v>
      </c>
      <c r="B77" s="14">
        <v>0</v>
      </c>
      <c r="C77" s="16"/>
      <c r="D77" s="16"/>
      <c r="E77" s="16"/>
      <c r="F77" s="16"/>
      <c r="G77" s="16"/>
      <c r="H77" s="16"/>
      <c r="I77" s="16"/>
      <c r="J77" s="16"/>
      <c r="K77" s="31"/>
      <c r="L77" s="2"/>
    </row>
    <row r="78" spans="1:12" x14ac:dyDescent="0.25">
      <c r="A78" s="58">
        <v>46026</v>
      </c>
      <c r="B78" s="18">
        <v>4.1666666666666664E-2</v>
      </c>
      <c r="C78" s="20"/>
      <c r="D78" s="20"/>
      <c r="E78" s="20"/>
      <c r="F78" s="20"/>
      <c r="G78" s="20"/>
      <c r="H78" s="20"/>
      <c r="I78" s="20"/>
      <c r="J78" s="20"/>
      <c r="K78" s="32"/>
      <c r="L78" s="2"/>
    </row>
    <row r="79" spans="1:12" x14ac:dyDescent="0.25">
      <c r="A79" s="58">
        <v>46026</v>
      </c>
      <c r="B79" s="18">
        <v>8.3333333333333329E-2</v>
      </c>
      <c r="C79" s="20"/>
      <c r="D79" s="20"/>
      <c r="E79" s="20"/>
      <c r="F79" s="20"/>
      <c r="G79" s="20"/>
      <c r="H79" s="20"/>
      <c r="I79" s="20"/>
      <c r="J79" s="20"/>
      <c r="K79" s="32"/>
      <c r="L79" s="2"/>
    </row>
    <row r="80" spans="1:12" x14ac:dyDescent="0.25">
      <c r="A80" s="58">
        <v>46026</v>
      </c>
      <c r="B80" s="18">
        <v>0.125</v>
      </c>
      <c r="C80" s="20"/>
      <c r="D80" s="20"/>
      <c r="E80" s="20"/>
      <c r="F80" s="20"/>
      <c r="G80" s="20"/>
      <c r="H80" s="20"/>
      <c r="I80" s="20"/>
      <c r="J80" s="20"/>
      <c r="K80" s="32"/>
      <c r="L80" s="2"/>
    </row>
    <row r="81" spans="1:12" x14ac:dyDescent="0.25">
      <c r="A81" s="58">
        <v>46026</v>
      </c>
      <c r="B81" s="18">
        <v>0.16666666666666666</v>
      </c>
      <c r="C81" s="20"/>
      <c r="D81" s="20"/>
      <c r="E81" s="20"/>
      <c r="F81" s="20"/>
      <c r="G81" s="20"/>
      <c r="H81" s="20"/>
      <c r="I81" s="20"/>
      <c r="J81" s="20"/>
      <c r="K81" s="32"/>
      <c r="L81" s="2"/>
    </row>
    <row r="82" spans="1:12" x14ac:dyDescent="0.25">
      <c r="A82" s="58">
        <v>46026</v>
      </c>
      <c r="B82" s="18">
        <v>0.20833333333333334</v>
      </c>
      <c r="C82" s="20"/>
      <c r="D82" s="20"/>
      <c r="E82" s="20"/>
      <c r="F82" s="20"/>
      <c r="G82" s="20"/>
      <c r="H82" s="20"/>
      <c r="I82" s="20"/>
      <c r="J82" s="20"/>
      <c r="K82" s="32"/>
      <c r="L82" s="2"/>
    </row>
    <row r="83" spans="1:12" x14ac:dyDescent="0.25">
      <c r="A83" s="58">
        <v>46026</v>
      </c>
      <c r="B83" s="18">
        <v>0.25</v>
      </c>
      <c r="C83" s="20"/>
      <c r="D83" s="20"/>
      <c r="E83" s="20"/>
      <c r="F83" s="20"/>
      <c r="G83" s="20"/>
      <c r="H83" s="20"/>
      <c r="I83" s="20"/>
      <c r="J83" s="20"/>
      <c r="K83" s="32"/>
      <c r="L83" s="2"/>
    </row>
    <row r="84" spans="1:12" x14ac:dyDescent="0.25">
      <c r="A84" s="58">
        <v>46026</v>
      </c>
      <c r="B84" s="18">
        <v>0.29166666666666669</v>
      </c>
      <c r="C84" s="20"/>
      <c r="D84" s="20"/>
      <c r="E84" s="20"/>
      <c r="F84" s="20"/>
      <c r="G84" s="20"/>
      <c r="H84" s="20"/>
      <c r="I84" s="20"/>
      <c r="J84" s="20"/>
      <c r="K84" s="32"/>
      <c r="L84" s="2"/>
    </row>
    <row r="85" spans="1:12" x14ac:dyDescent="0.25">
      <c r="A85" s="58">
        <v>46026</v>
      </c>
      <c r="B85" s="18">
        <v>0.33333333333333331</v>
      </c>
      <c r="C85" s="20"/>
      <c r="D85" s="20"/>
      <c r="E85" s="20"/>
      <c r="F85" s="20"/>
      <c r="G85" s="20"/>
      <c r="H85" s="20"/>
      <c r="I85" s="20"/>
      <c r="J85" s="20"/>
      <c r="K85" s="32"/>
      <c r="L85" s="2"/>
    </row>
    <row r="86" spans="1:12" x14ac:dyDescent="0.25">
      <c r="A86" s="58">
        <v>46026</v>
      </c>
      <c r="B86" s="18">
        <v>0.375</v>
      </c>
      <c r="C86" s="20"/>
      <c r="D86" s="20"/>
      <c r="E86" s="20"/>
      <c r="F86" s="20"/>
      <c r="G86" s="20"/>
      <c r="H86" s="20"/>
      <c r="I86" s="20"/>
      <c r="J86" s="20"/>
      <c r="K86" s="32"/>
      <c r="L86" s="2"/>
    </row>
    <row r="87" spans="1:12" x14ac:dyDescent="0.25">
      <c r="A87" s="58">
        <v>46026</v>
      </c>
      <c r="B87" s="18">
        <v>0.41666666666666669</v>
      </c>
      <c r="C87" s="20"/>
      <c r="D87" s="20"/>
      <c r="E87" s="20"/>
      <c r="F87" s="20"/>
      <c r="G87" s="20"/>
      <c r="H87" s="20"/>
      <c r="I87" s="20"/>
      <c r="J87" s="20"/>
      <c r="K87" s="32"/>
      <c r="L87" s="2"/>
    </row>
    <row r="88" spans="1:12" x14ac:dyDescent="0.25">
      <c r="A88" s="58">
        <v>46026</v>
      </c>
      <c r="B88" s="18">
        <v>0.45833333333333331</v>
      </c>
      <c r="C88" s="20"/>
      <c r="D88" s="20"/>
      <c r="E88" s="20"/>
      <c r="F88" s="20"/>
      <c r="G88" s="20"/>
      <c r="H88" s="20"/>
      <c r="I88" s="20"/>
      <c r="J88" s="20"/>
      <c r="K88" s="32"/>
      <c r="L88" s="2"/>
    </row>
    <row r="89" spans="1:12" x14ac:dyDescent="0.25">
      <c r="A89" s="58">
        <v>46026</v>
      </c>
      <c r="B89" s="18">
        <v>0.5</v>
      </c>
      <c r="C89" s="20"/>
      <c r="D89" s="20"/>
      <c r="E89" s="20"/>
      <c r="F89" s="20"/>
      <c r="G89" s="20"/>
      <c r="H89" s="20"/>
      <c r="I89" s="20"/>
      <c r="J89" s="20"/>
      <c r="K89" s="32"/>
      <c r="L89" s="2"/>
    </row>
    <row r="90" spans="1:12" x14ac:dyDescent="0.25">
      <c r="A90" s="58">
        <v>46026</v>
      </c>
      <c r="B90" s="18">
        <v>0.54166666666666663</v>
      </c>
      <c r="C90" s="20"/>
      <c r="D90" s="20"/>
      <c r="E90" s="20"/>
      <c r="F90" s="20"/>
      <c r="G90" s="20"/>
      <c r="H90" s="20"/>
      <c r="I90" s="20"/>
      <c r="J90" s="20"/>
      <c r="K90" s="32"/>
      <c r="L90" s="2"/>
    </row>
    <row r="91" spans="1:12" x14ac:dyDescent="0.25">
      <c r="A91" s="58">
        <v>46026</v>
      </c>
      <c r="B91" s="18">
        <v>0.58333333333333337</v>
      </c>
      <c r="C91" s="20"/>
      <c r="D91" s="20"/>
      <c r="E91" s="20"/>
      <c r="F91" s="20"/>
      <c r="G91" s="20"/>
      <c r="H91" s="20"/>
      <c r="I91" s="20"/>
      <c r="J91" s="20"/>
      <c r="K91" s="32"/>
      <c r="L91" s="2"/>
    </row>
    <row r="92" spans="1:12" x14ac:dyDescent="0.25">
      <c r="A92" s="58">
        <v>46026</v>
      </c>
      <c r="B92" s="18">
        <v>0.625</v>
      </c>
      <c r="C92" s="20"/>
      <c r="D92" s="20"/>
      <c r="E92" s="20"/>
      <c r="F92" s="20"/>
      <c r="G92" s="20"/>
      <c r="H92" s="20"/>
      <c r="I92" s="20"/>
      <c r="J92" s="20"/>
      <c r="K92" s="32"/>
      <c r="L92" s="2"/>
    </row>
    <row r="93" spans="1:12" x14ac:dyDescent="0.25">
      <c r="A93" s="58">
        <v>46026</v>
      </c>
      <c r="B93" s="18">
        <v>0.66666666666666663</v>
      </c>
      <c r="C93" s="20"/>
      <c r="D93" s="20"/>
      <c r="E93" s="20"/>
      <c r="F93" s="20"/>
      <c r="G93" s="20"/>
      <c r="H93" s="20"/>
      <c r="I93" s="20"/>
      <c r="J93" s="20"/>
      <c r="K93" s="32"/>
      <c r="L93" s="2"/>
    </row>
    <row r="94" spans="1:12" x14ac:dyDescent="0.25">
      <c r="A94" s="58">
        <v>46026</v>
      </c>
      <c r="B94" s="18">
        <v>0.70833333333333337</v>
      </c>
      <c r="C94" s="20"/>
      <c r="D94" s="20"/>
      <c r="E94" s="20"/>
      <c r="F94" s="20"/>
      <c r="G94" s="20"/>
      <c r="H94" s="20"/>
      <c r="I94" s="20"/>
      <c r="J94" s="20"/>
      <c r="K94" s="32"/>
      <c r="L94" s="2"/>
    </row>
    <row r="95" spans="1:12" x14ac:dyDescent="0.25">
      <c r="A95" s="58">
        <v>46026</v>
      </c>
      <c r="B95" s="18">
        <v>0.75</v>
      </c>
      <c r="C95" s="20"/>
      <c r="D95" s="20"/>
      <c r="E95" s="20"/>
      <c r="F95" s="20"/>
      <c r="G95" s="20"/>
      <c r="H95" s="20"/>
      <c r="I95" s="20"/>
      <c r="J95" s="20"/>
      <c r="K95" s="32"/>
      <c r="L95" s="2"/>
    </row>
    <row r="96" spans="1:12" x14ac:dyDescent="0.25">
      <c r="A96" s="58">
        <v>46026</v>
      </c>
      <c r="B96" s="18">
        <v>0.79166666666666663</v>
      </c>
      <c r="C96" s="20"/>
      <c r="D96" s="20"/>
      <c r="E96" s="20"/>
      <c r="F96" s="20"/>
      <c r="G96" s="20"/>
      <c r="H96" s="20"/>
      <c r="I96" s="20"/>
      <c r="J96" s="20"/>
      <c r="K96" s="32"/>
      <c r="L96" s="2"/>
    </row>
    <row r="97" spans="1:12" x14ac:dyDescent="0.25">
      <c r="A97" s="58">
        <v>46026</v>
      </c>
      <c r="B97" s="18">
        <v>0.83333333333333337</v>
      </c>
      <c r="C97" s="20"/>
      <c r="D97" s="20"/>
      <c r="E97" s="20"/>
      <c r="F97" s="20"/>
      <c r="G97" s="20"/>
      <c r="H97" s="20"/>
      <c r="I97" s="20"/>
      <c r="J97" s="20"/>
      <c r="K97" s="32"/>
      <c r="L97" s="2"/>
    </row>
    <row r="98" spans="1:12" x14ac:dyDescent="0.25">
      <c r="A98" s="58">
        <v>46026</v>
      </c>
      <c r="B98" s="18">
        <v>0.875</v>
      </c>
      <c r="C98" s="20"/>
      <c r="D98" s="20"/>
      <c r="E98" s="20"/>
      <c r="F98" s="20"/>
      <c r="G98" s="20"/>
      <c r="H98" s="20"/>
      <c r="I98" s="20"/>
      <c r="J98" s="20"/>
      <c r="K98" s="32"/>
      <c r="L98" s="2"/>
    </row>
    <row r="99" spans="1:12" x14ac:dyDescent="0.25">
      <c r="A99" s="58">
        <v>46026</v>
      </c>
      <c r="B99" s="18">
        <v>0.91666666666666663</v>
      </c>
      <c r="C99" s="20"/>
      <c r="D99" s="20"/>
      <c r="E99" s="20"/>
      <c r="F99" s="20"/>
      <c r="G99" s="20"/>
      <c r="H99" s="20"/>
      <c r="I99" s="20"/>
      <c r="J99" s="20"/>
      <c r="K99" s="32"/>
      <c r="L99" s="2"/>
    </row>
    <row r="100" spans="1:12" ht="15.75" thickBot="1" x14ac:dyDescent="0.3">
      <c r="A100" s="59">
        <v>46026</v>
      </c>
      <c r="B100" s="22">
        <v>0.95833333333333337</v>
      </c>
      <c r="C100" s="33"/>
      <c r="D100" s="33"/>
      <c r="E100" s="33"/>
      <c r="F100" s="33"/>
      <c r="G100" s="33"/>
      <c r="H100" s="33"/>
      <c r="I100" s="33"/>
      <c r="J100" s="33"/>
      <c r="K100" s="34"/>
      <c r="L100" s="2"/>
    </row>
    <row r="101" spans="1:12" ht="15.75" thickBot="1" x14ac:dyDescent="0.3">
      <c r="A101" s="26" t="s">
        <v>15</v>
      </c>
      <c r="B101" s="44"/>
      <c r="C101" s="45" t="str">
        <f t="shared" ref="C101:K101" si="3">IFERROR(ROUND(AVERAGE(C77:C100), 2), "")</f>
        <v/>
      </c>
      <c r="D101" s="45" t="str">
        <f t="shared" si="3"/>
        <v/>
      </c>
      <c r="E101" s="45" t="str">
        <f t="shared" si="3"/>
        <v/>
      </c>
      <c r="F101" s="45" t="str">
        <f t="shared" si="3"/>
        <v/>
      </c>
      <c r="G101" s="45" t="str">
        <f t="shared" si="3"/>
        <v/>
      </c>
      <c r="H101" s="45" t="str">
        <f t="shared" si="3"/>
        <v/>
      </c>
      <c r="I101" s="45" t="str">
        <f t="shared" si="3"/>
        <v/>
      </c>
      <c r="J101" s="45" t="str">
        <f t="shared" si="3"/>
        <v/>
      </c>
      <c r="K101" s="46" t="str">
        <f t="shared" si="3"/>
        <v/>
      </c>
      <c r="L101" s="7"/>
    </row>
    <row r="102" spans="1:12" x14ac:dyDescent="0.25">
      <c r="A102" s="57">
        <v>46027</v>
      </c>
      <c r="B102" s="14">
        <v>0</v>
      </c>
      <c r="C102" s="16"/>
      <c r="D102" s="16"/>
      <c r="E102" s="16"/>
      <c r="F102" s="16"/>
      <c r="G102" s="16"/>
      <c r="H102" s="16"/>
      <c r="I102" s="16"/>
      <c r="J102" s="16"/>
      <c r="K102" s="31"/>
      <c r="L102" s="2"/>
    </row>
    <row r="103" spans="1:12" x14ac:dyDescent="0.25">
      <c r="A103" s="58">
        <v>46027</v>
      </c>
      <c r="B103" s="18">
        <v>4.1666666666666664E-2</v>
      </c>
      <c r="C103" s="20"/>
      <c r="D103" s="20"/>
      <c r="E103" s="20"/>
      <c r="F103" s="20"/>
      <c r="G103" s="20"/>
      <c r="H103" s="20"/>
      <c r="I103" s="20"/>
      <c r="J103" s="20"/>
      <c r="K103" s="32"/>
      <c r="L103" s="2"/>
    </row>
    <row r="104" spans="1:12" x14ac:dyDescent="0.25">
      <c r="A104" s="58">
        <v>46027</v>
      </c>
      <c r="B104" s="18">
        <v>8.3333333333333329E-2</v>
      </c>
      <c r="C104" s="20"/>
      <c r="D104" s="20"/>
      <c r="E104" s="20"/>
      <c r="F104" s="20"/>
      <c r="G104" s="20"/>
      <c r="H104" s="20"/>
      <c r="I104" s="20"/>
      <c r="J104" s="20"/>
      <c r="K104" s="32"/>
      <c r="L104" s="2"/>
    </row>
    <row r="105" spans="1:12" x14ac:dyDescent="0.25">
      <c r="A105" s="58">
        <v>46027</v>
      </c>
      <c r="B105" s="18">
        <v>0.125</v>
      </c>
      <c r="C105" s="20"/>
      <c r="D105" s="20"/>
      <c r="E105" s="20"/>
      <c r="F105" s="20"/>
      <c r="G105" s="20"/>
      <c r="H105" s="20"/>
      <c r="I105" s="20"/>
      <c r="J105" s="20"/>
      <c r="K105" s="32"/>
      <c r="L105" s="2"/>
    </row>
    <row r="106" spans="1:12" x14ac:dyDescent="0.25">
      <c r="A106" s="58">
        <v>46027</v>
      </c>
      <c r="B106" s="18">
        <v>0.16666666666666666</v>
      </c>
      <c r="C106" s="20"/>
      <c r="D106" s="20"/>
      <c r="E106" s="20"/>
      <c r="F106" s="20"/>
      <c r="G106" s="20"/>
      <c r="H106" s="20"/>
      <c r="I106" s="20"/>
      <c r="J106" s="20"/>
      <c r="K106" s="32"/>
      <c r="L106" s="2"/>
    </row>
    <row r="107" spans="1:12" x14ac:dyDescent="0.25">
      <c r="A107" s="58">
        <v>46027</v>
      </c>
      <c r="B107" s="18">
        <v>0.20833333333333334</v>
      </c>
      <c r="C107" s="20"/>
      <c r="D107" s="20"/>
      <c r="E107" s="20"/>
      <c r="F107" s="20"/>
      <c r="G107" s="20"/>
      <c r="H107" s="20"/>
      <c r="I107" s="20"/>
      <c r="J107" s="20"/>
      <c r="K107" s="32"/>
      <c r="L107" s="3"/>
    </row>
    <row r="108" spans="1:12" x14ac:dyDescent="0.25">
      <c r="A108" s="58">
        <v>46027</v>
      </c>
      <c r="B108" s="18">
        <v>0.25</v>
      </c>
      <c r="C108" s="20"/>
      <c r="D108" s="20"/>
      <c r="E108" s="20"/>
      <c r="F108" s="20"/>
      <c r="G108" s="20"/>
      <c r="H108" s="20"/>
      <c r="I108" s="20"/>
      <c r="J108" s="20"/>
      <c r="K108" s="32"/>
      <c r="L108" s="2"/>
    </row>
    <row r="109" spans="1:12" x14ac:dyDescent="0.25">
      <c r="A109" s="58">
        <v>46027</v>
      </c>
      <c r="B109" s="18">
        <v>0.29166666666666669</v>
      </c>
      <c r="C109" s="20"/>
      <c r="D109" s="20"/>
      <c r="E109" s="20"/>
      <c r="F109" s="20"/>
      <c r="G109" s="20"/>
      <c r="H109" s="20"/>
      <c r="I109" s="20"/>
      <c r="J109" s="20"/>
      <c r="K109" s="32"/>
      <c r="L109" s="2"/>
    </row>
    <row r="110" spans="1:12" x14ac:dyDescent="0.25">
      <c r="A110" s="58">
        <v>46027</v>
      </c>
      <c r="B110" s="18">
        <v>0.33333333333333331</v>
      </c>
      <c r="C110" s="20"/>
      <c r="D110" s="20"/>
      <c r="E110" s="20"/>
      <c r="F110" s="20"/>
      <c r="G110" s="20"/>
      <c r="H110" s="20"/>
      <c r="I110" s="20"/>
      <c r="J110" s="20"/>
      <c r="K110" s="32"/>
      <c r="L110" s="2"/>
    </row>
    <row r="111" spans="1:12" x14ac:dyDescent="0.25">
      <c r="A111" s="58">
        <v>46027</v>
      </c>
      <c r="B111" s="18">
        <v>0.375</v>
      </c>
      <c r="C111" s="20"/>
      <c r="D111" s="20"/>
      <c r="E111" s="20"/>
      <c r="F111" s="20"/>
      <c r="G111" s="20"/>
      <c r="H111" s="20"/>
      <c r="I111" s="20"/>
      <c r="J111" s="20"/>
      <c r="K111" s="32"/>
      <c r="L111" s="2"/>
    </row>
    <row r="112" spans="1:12" x14ac:dyDescent="0.25">
      <c r="A112" s="58">
        <v>46027</v>
      </c>
      <c r="B112" s="18">
        <v>0.41666666666666669</v>
      </c>
      <c r="C112" s="20"/>
      <c r="D112" s="20"/>
      <c r="E112" s="20"/>
      <c r="F112" s="20"/>
      <c r="G112" s="20"/>
      <c r="H112" s="20"/>
      <c r="I112" s="20"/>
      <c r="J112" s="20"/>
      <c r="K112" s="32"/>
      <c r="L112" s="2"/>
    </row>
    <row r="113" spans="1:12" x14ac:dyDescent="0.25">
      <c r="A113" s="58">
        <v>46027</v>
      </c>
      <c r="B113" s="18">
        <v>0.45833333333333331</v>
      </c>
      <c r="C113" s="20"/>
      <c r="D113" s="20"/>
      <c r="E113" s="20"/>
      <c r="F113" s="20"/>
      <c r="G113" s="20"/>
      <c r="H113" s="20"/>
      <c r="I113" s="20"/>
      <c r="J113" s="20"/>
      <c r="K113" s="32"/>
      <c r="L113" s="2"/>
    </row>
    <row r="114" spans="1:12" x14ac:dyDescent="0.25">
      <c r="A114" s="58">
        <v>46027</v>
      </c>
      <c r="B114" s="18">
        <v>0.5</v>
      </c>
      <c r="C114" s="20"/>
      <c r="D114" s="20"/>
      <c r="E114" s="20"/>
      <c r="F114" s="20"/>
      <c r="G114" s="20"/>
      <c r="H114" s="20"/>
      <c r="I114" s="20"/>
      <c r="J114" s="20"/>
      <c r="K114" s="32"/>
      <c r="L114" s="2"/>
    </row>
    <row r="115" spans="1:12" x14ac:dyDescent="0.25">
      <c r="A115" s="58">
        <v>46027</v>
      </c>
      <c r="B115" s="18">
        <v>0.54166666666666663</v>
      </c>
      <c r="C115" s="20"/>
      <c r="D115" s="20"/>
      <c r="E115" s="20"/>
      <c r="F115" s="20"/>
      <c r="G115" s="20"/>
      <c r="H115" s="20"/>
      <c r="I115" s="20"/>
      <c r="J115" s="20"/>
      <c r="K115" s="32"/>
      <c r="L115" s="2"/>
    </row>
    <row r="116" spans="1:12" x14ac:dyDescent="0.25">
      <c r="A116" s="58">
        <v>46027</v>
      </c>
      <c r="B116" s="18">
        <v>0.58333333333333337</v>
      </c>
      <c r="C116" s="20"/>
      <c r="D116" s="20"/>
      <c r="E116" s="20"/>
      <c r="F116" s="20"/>
      <c r="G116" s="20"/>
      <c r="H116" s="20"/>
      <c r="I116" s="20"/>
      <c r="J116" s="20"/>
      <c r="K116" s="32"/>
      <c r="L116" s="2"/>
    </row>
    <row r="117" spans="1:12" x14ac:dyDescent="0.25">
      <c r="A117" s="58">
        <v>46027</v>
      </c>
      <c r="B117" s="18">
        <v>0.625</v>
      </c>
      <c r="C117" s="20"/>
      <c r="D117" s="20"/>
      <c r="E117" s="20"/>
      <c r="F117" s="20"/>
      <c r="G117" s="20"/>
      <c r="H117" s="20"/>
      <c r="I117" s="20"/>
      <c r="J117" s="20"/>
      <c r="K117" s="32"/>
      <c r="L117" s="2"/>
    </row>
    <row r="118" spans="1:12" x14ac:dyDescent="0.25">
      <c r="A118" s="58">
        <v>46027</v>
      </c>
      <c r="B118" s="18">
        <v>0.66666666666666663</v>
      </c>
      <c r="C118" s="20"/>
      <c r="D118" s="20"/>
      <c r="E118" s="20"/>
      <c r="F118" s="20"/>
      <c r="G118" s="20"/>
      <c r="H118" s="20"/>
      <c r="I118" s="20"/>
      <c r="J118" s="20"/>
      <c r="K118" s="32"/>
      <c r="L118" s="2"/>
    </row>
    <row r="119" spans="1:12" x14ac:dyDescent="0.25">
      <c r="A119" s="58">
        <v>46027</v>
      </c>
      <c r="B119" s="18">
        <v>0.70833333333333337</v>
      </c>
      <c r="C119" s="20"/>
      <c r="D119" s="20"/>
      <c r="E119" s="20"/>
      <c r="F119" s="20"/>
      <c r="G119" s="20"/>
      <c r="H119" s="20"/>
      <c r="I119" s="20"/>
      <c r="J119" s="20"/>
      <c r="K119" s="32"/>
      <c r="L119" s="2"/>
    </row>
    <row r="120" spans="1:12" x14ac:dyDescent="0.25">
      <c r="A120" s="58">
        <v>46027</v>
      </c>
      <c r="B120" s="18">
        <v>0.75</v>
      </c>
      <c r="C120" s="20"/>
      <c r="D120" s="20"/>
      <c r="E120" s="20"/>
      <c r="F120" s="20"/>
      <c r="G120" s="20"/>
      <c r="H120" s="20"/>
      <c r="I120" s="20"/>
      <c r="J120" s="20"/>
      <c r="K120" s="32"/>
      <c r="L120" s="2"/>
    </row>
    <row r="121" spans="1:12" x14ac:dyDescent="0.25">
      <c r="A121" s="58">
        <v>46027</v>
      </c>
      <c r="B121" s="18">
        <v>0.79166666666666663</v>
      </c>
      <c r="C121" s="20"/>
      <c r="D121" s="20"/>
      <c r="E121" s="20"/>
      <c r="F121" s="20"/>
      <c r="G121" s="20"/>
      <c r="H121" s="20"/>
      <c r="I121" s="20"/>
      <c r="J121" s="20"/>
      <c r="K121" s="32"/>
      <c r="L121" s="2"/>
    </row>
    <row r="122" spans="1:12" x14ac:dyDescent="0.25">
      <c r="A122" s="58">
        <v>46027</v>
      </c>
      <c r="B122" s="18">
        <v>0.83333333333333337</v>
      </c>
      <c r="C122" s="20"/>
      <c r="D122" s="20"/>
      <c r="E122" s="20"/>
      <c r="F122" s="20"/>
      <c r="G122" s="20"/>
      <c r="H122" s="20"/>
      <c r="I122" s="20"/>
      <c r="J122" s="20"/>
      <c r="K122" s="32"/>
      <c r="L122" s="2"/>
    </row>
    <row r="123" spans="1:12" x14ac:dyDescent="0.25">
      <c r="A123" s="58">
        <v>46027</v>
      </c>
      <c r="B123" s="18">
        <v>0.875</v>
      </c>
      <c r="C123" s="20"/>
      <c r="D123" s="20"/>
      <c r="E123" s="20"/>
      <c r="F123" s="20"/>
      <c r="G123" s="20"/>
      <c r="H123" s="20"/>
      <c r="I123" s="20"/>
      <c r="J123" s="20"/>
      <c r="K123" s="32"/>
      <c r="L123" s="2"/>
    </row>
    <row r="124" spans="1:12" x14ac:dyDescent="0.25">
      <c r="A124" s="58">
        <v>46027</v>
      </c>
      <c r="B124" s="18">
        <v>0.91666666666666663</v>
      </c>
      <c r="C124" s="20"/>
      <c r="D124" s="20"/>
      <c r="E124" s="20"/>
      <c r="F124" s="20"/>
      <c r="G124" s="20"/>
      <c r="H124" s="20"/>
      <c r="I124" s="20"/>
      <c r="J124" s="20"/>
      <c r="K124" s="32"/>
      <c r="L124" s="2"/>
    </row>
    <row r="125" spans="1:12" ht="15.75" thickBot="1" x14ac:dyDescent="0.3">
      <c r="A125" s="60">
        <v>46027</v>
      </c>
      <c r="B125" s="35">
        <v>0.95833333333333337</v>
      </c>
      <c r="C125" s="24"/>
      <c r="D125" s="24"/>
      <c r="E125" s="24"/>
      <c r="F125" s="24"/>
      <c r="G125" s="24"/>
      <c r="H125" s="24"/>
      <c r="I125" s="24"/>
      <c r="J125" s="24"/>
      <c r="K125" s="36"/>
      <c r="L125" s="2"/>
    </row>
    <row r="126" spans="1:12" ht="15.75" thickBot="1" x14ac:dyDescent="0.3">
      <c r="A126" s="26" t="s">
        <v>16</v>
      </c>
      <c r="B126" s="44"/>
      <c r="C126" s="45" t="str">
        <f t="shared" ref="C126:K126" si="4">IFERROR(ROUND(AVERAGE(C102:C125), 2), "")</f>
        <v/>
      </c>
      <c r="D126" s="45" t="str">
        <f t="shared" si="4"/>
        <v/>
      </c>
      <c r="E126" s="45" t="str">
        <f t="shared" si="4"/>
        <v/>
      </c>
      <c r="F126" s="45" t="str">
        <f t="shared" si="4"/>
        <v/>
      </c>
      <c r="G126" s="45" t="str">
        <f t="shared" si="4"/>
        <v/>
      </c>
      <c r="H126" s="45" t="str">
        <f t="shared" si="4"/>
        <v/>
      </c>
      <c r="I126" s="45" t="str">
        <f t="shared" si="4"/>
        <v/>
      </c>
      <c r="J126" s="45" t="str">
        <f t="shared" si="4"/>
        <v/>
      </c>
      <c r="K126" s="46" t="str">
        <f t="shared" si="4"/>
        <v/>
      </c>
      <c r="L126" s="7"/>
    </row>
    <row r="127" spans="1:12" x14ac:dyDescent="0.25">
      <c r="A127" s="57">
        <v>46028</v>
      </c>
      <c r="B127" s="14">
        <v>0</v>
      </c>
      <c r="C127" s="16"/>
      <c r="D127" s="16"/>
      <c r="E127" s="16"/>
      <c r="F127" s="16"/>
      <c r="G127" s="16"/>
      <c r="H127" s="16"/>
      <c r="I127" s="16"/>
      <c r="J127" s="16"/>
      <c r="K127" s="31"/>
      <c r="L127" s="2"/>
    </row>
    <row r="128" spans="1:12" x14ac:dyDescent="0.25">
      <c r="A128" s="58">
        <v>46028</v>
      </c>
      <c r="B128" s="18">
        <v>4.1666666666666664E-2</v>
      </c>
      <c r="C128" s="20"/>
      <c r="D128" s="20"/>
      <c r="E128" s="20"/>
      <c r="F128" s="20"/>
      <c r="G128" s="20"/>
      <c r="H128" s="20"/>
      <c r="I128" s="20"/>
      <c r="J128" s="20"/>
      <c r="K128" s="32"/>
      <c r="L128" s="2"/>
    </row>
    <row r="129" spans="1:12" x14ac:dyDescent="0.25">
      <c r="A129" s="58">
        <v>46028</v>
      </c>
      <c r="B129" s="18">
        <v>8.3333333333333329E-2</v>
      </c>
      <c r="C129" s="20"/>
      <c r="D129" s="20"/>
      <c r="E129" s="20"/>
      <c r="F129" s="20"/>
      <c r="G129" s="20"/>
      <c r="H129" s="20"/>
      <c r="I129" s="20"/>
      <c r="J129" s="20"/>
      <c r="K129" s="32"/>
      <c r="L129" s="2"/>
    </row>
    <row r="130" spans="1:12" x14ac:dyDescent="0.25">
      <c r="A130" s="58">
        <v>46028</v>
      </c>
      <c r="B130" s="18">
        <v>0.125</v>
      </c>
      <c r="C130" s="20"/>
      <c r="D130" s="20"/>
      <c r="E130" s="20"/>
      <c r="F130" s="20"/>
      <c r="G130" s="20"/>
      <c r="H130" s="20"/>
      <c r="I130" s="20"/>
      <c r="J130" s="20"/>
      <c r="K130" s="32"/>
      <c r="L130" s="2"/>
    </row>
    <row r="131" spans="1:12" x14ac:dyDescent="0.25">
      <c r="A131" s="58">
        <v>46028</v>
      </c>
      <c r="B131" s="18">
        <v>0.16666666666666666</v>
      </c>
      <c r="C131" s="20"/>
      <c r="D131" s="20"/>
      <c r="E131" s="20"/>
      <c r="F131" s="20"/>
      <c r="G131" s="20"/>
      <c r="H131" s="20"/>
      <c r="I131" s="20"/>
      <c r="J131" s="20"/>
      <c r="K131" s="32"/>
      <c r="L131" s="2"/>
    </row>
    <row r="132" spans="1:12" x14ac:dyDescent="0.25">
      <c r="A132" s="58">
        <v>46028</v>
      </c>
      <c r="B132" s="18">
        <v>0.20833333333333334</v>
      </c>
      <c r="C132" s="20"/>
      <c r="D132" s="20"/>
      <c r="E132" s="20"/>
      <c r="F132" s="20"/>
      <c r="G132" s="20"/>
      <c r="H132" s="20"/>
      <c r="I132" s="20"/>
      <c r="J132" s="20"/>
      <c r="K132" s="32"/>
      <c r="L132" s="2"/>
    </row>
    <row r="133" spans="1:12" x14ac:dyDescent="0.25">
      <c r="A133" s="58">
        <v>46028</v>
      </c>
      <c r="B133" s="18">
        <v>0.25</v>
      </c>
      <c r="C133" s="20"/>
      <c r="D133" s="20"/>
      <c r="E133" s="20"/>
      <c r="F133" s="20"/>
      <c r="G133" s="20"/>
      <c r="H133" s="20"/>
      <c r="I133" s="20"/>
      <c r="J133" s="20"/>
      <c r="K133" s="32"/>
      <c r="L133" s="2"/>
    </row>
    <row r="134" spans="1:12" x14ac:dyDescent="0.25">
      <c r="A134" s="58">
        <v>46028</v>
      </c>
      <c r="B134" s="18">
        <v>0.29166666666666669</v>
      </c>
      <c r="C134" s="20"/>
      <c r="D134" s="20"/>
      <c r="E134" s="20"/>
      <c r="F134" s="20"/>
      <c r="G134" s="20"/>
      <c r="H134" s="20"/>
      <c r="I134" s="20"/>
      <c r="J134" s="20"/>
      <c r="K134" s="32"/>
      <c r="L134" s="2"/>
    </row>
    <row r="135" spans="1:12" x14ac:dyDescent="0.25">
      <c r="A135" s="58">
        <v>46028</v>
      </c>
      <c r="B135" s="18">
        <v>0.33333333333333331</v>
      </c>
      <c r="C135" s="20"/>
      <c r="D135" s="20"/>
      <c r="E135" s="20"/>
      <c r="F135" s="20"/>
      <c r="G135" s="20"/>
      <c r="H135" s="20"/>
      <c r="I135" s="20"/>
      <c r="J135" s="20"/>
      <c r="K135" s="32"/>
      <c r="L135" s="2"/>
    </row>
    <row r="136" spans="1:12" x14ac:dyDescent="0.25">
      <c r="A136" s="58">
        <v>46028</v>
      </c>
      <c r="B136" s="18">
        <v>0.375</v>
      </c>
      <c r="C136" s="20"/>
      <c r="D136" s="20"/>
      <c r="E136" s="20"/>
      <c r="F136" s="20"/>
      <c r="G136" s="20"/>
      <c r="H136" s="20"/>
      <c r="I136" s="20"/>
      <c r="J136" s="20"/>
      <c r="K136" s="32"/>
      <c r="L136" s="2"/>
    </row>
    <row r="137" spans="1:12" x14ac:dyDescent="0.25">
      <c r="A137" s="58">
        <v>46028</v>
      </c>
      <c r="B137" s="18">
        <v>0.41666666666666669</v>
      </c>
      <c r="C137" s="20"/>
      <c r="D137" s="20"/>
      <c r="E137" s="20"/>
      <c r="F137" s="20"/>
      <c r="G137" s="20"/>
      <c r="H137" s="20"/>
      <c r="I137" s="20"/>
      <c r="J137" s="20"/>
      <c r="K137" s="32"/>
      <c r="L137" s="2"/>
    </row>
    <row r="138" spans="1:12" x14ac:dyDescent="0.25">
      <c r="A138" s="58">
        <v>46028</v>
      </c>
      <c r="B138" s="18">
        <v>0.45833333333333331</v>
      </c>
      <c r="C138" s="20"/>
      <c r="D138" s="20"/>
      <c r="E138" s="20"/>
      <c r="F138" s="20"/>
      <c r="G138" s="20"/>
      <c r="H138" s="20"/>
      <c r="I138" s="20"/>
      <c r="J138" s="20"/>
      <c r="K138" s="32"/>
      <c r="L138" s="2"/>
    </row>
    <row r="139" spans="1:12" x14ac:dyDescent="0.25">
      <c r="A139" s="58">
        <v>46028</v>
      </c>
      <c r="B139" s="18">
        <v>0.5</v>
      </c>
      <c r="C139" s="20"/>
      <c r="D139" s="20"/>
      <c r="E139" s="20"/>
      <c r="F139" s="20"/>
      <c r="G139" s="20"/>
      <c r="H139" s="20"/>
      <c r="I139" s="20"/>
      <c r="J139" s="20"/>
      <c r="K139" s="32"/>
      <c r="L139" s="2"/>
    </row>
    <row r="140" spans="1:12" x14ac:dyDescent="0.25">
      <c r="A140" s="58">
        <v>46028</v>
      </c>
      <c r="B140" s="18">
        <v>0.54166666666666663</v>
      </c>
      <c r="C140" s="20"/>
      <c r="D140" s="20"/>
      <c r="E140" s="20"/>
      <c r="F140" s="20"/>
      <c r="G140" s="20"/>
      <c r="H140" s="20"/>
      <c r="I140" s="20"/>
      <c r="J140" s="20"/>
      <c r="K140" s="32"/>
      <c r="L140" s="2"/>
    </row>
    <row r="141" spans="1:12" x14ac:dyDescent="0.25">
      <c r="A141" s="58">
        <v>46028</v>
      </c>
      <c r="B141" s="18">
        <v>0.58333333333333337</v>
      </c>
      <c r="C141" s="20"/>
      <c r="D141" s="20"/>
      <c r="E141" s="20"/>
      <c r="F141" s="20"/>
      <c r="G141" s="20"/>
      <c r="H141" s="20"/>
      <c r="I141" s="20"/>
      <c r="J141" s="20"/>
      <c r="K141" s="32"/>
      <c r="L141" s="2"/>
    </row>
    <row r="142" spans="1:12" x14ac:dyDescent="0.25">
      <c r="A142" s="58">
        <v>46028</v>
      </c>
      <c r="B142" s="18">
        <v>0.625</v>
      </c>
      <c r="C142" s="20"/>
      <c r="D142" s="20"/>
      <c r="E142" s="20"/>
      <c r="F142" s="20"/>
      <c r="G142" s="20"/>
      <c r="H142" s="20"/>
      <c r="I142" s="20"/>
      <c r="J142" s="20"/>
      <c r="K142" s="32"/>
      <c r="L142" s="2"/>
    </row>
    <row r="143" spans="1:12" x14ac:dyDescent="0.25">
      <c r="A143" s="58">
        <v>46028</v>
      </c>
      <c r="B143" s="18">
        <v>0.66666666666666663</v>
      </c>
      <c r="C143" s="20"/>
      <c r="D143" s="20"/>
      <c r="E143" s="20"/>
      <c r="F143" s="20"/>
      <c r="G143" s="20"/>
      <c r="H143" s="20"/>
      <c r="I143" s="20"/>
      <c r="J143" s="20"/>
      <c r="K143" s="32"/>
      <c r="L143" s="2"/>
    </row>
    <row r="144" spans="1:12" x14ac:dyDescent="0.25">
      <c r="A144" s="58">
        <v>46028</v>
      </c>
      <c r="B144" s="18">
        <v>0.70833333333333337</v>
      </c>
      <c r="C144" s="20"/>
      <c r="D144" s="20"/>
      <c r="E144" s="20"/>
      <c r="F144" s="20"/>
      <c r="G144" s="20"/>
      <c r="H144" s="20"/>
      <c r="I144" s="20"/>
      <c r="J144" s="20"/>
      <c r="K144" s="32"/>
      <c r="L144" s="2"/>
    </row>
    <row r="145" spans="1:12" x14ac:dyDescent="0.25">
      <c r="A145" s="58">
        <v>46028</v>
      </c>
      <c r="B145" s="18">
        <v>0.75</v>
      </c>
      <c r="C145" s="20"/>
      <c r="D145" s="20"/>
      <c r="E145" s="20"/>
      <c r="F145" s="20"/>
      <c r="G145" s="20"/>
      <c r="H145" s="20"/>
      <c r="I145" s="20"/>
      <c r="J145" s="20"/>
      <c r="K145" s="32"/>
      <c r="L145" s="2"/>
    </row>
    <row r="146" spans="1:12" x14ac:dyDescent="0.25">
      <c r="A146" s="58">
        <v>46028</v>
      </c>
      <c r="B146" s="18">
        <v>0.79166666666666663</v>
      </c>
      <c r="C146" s="20"/>
      <c r="D146" s="20"/>
      <c r="E146" s="20"/>
      <c r="F146" s="20"/>
      <c r="G146" s="20"/>
      <c r="H146" s="20"/>
      <c r="I146" s="20"/>
      <c r="J146" s="20"/>
      <c r="K146" s="32"/>
      <c r="L146" s="2"/>
    </row>
    <row r="147" spans="1:12" x14ac:dyDescent="0.25">
      <c r="A147" s="58">
        <v>46028</v>
      </c>
      <c r="B147" s="18">
        <v>0.83333333333333337</v>
      </c>
      <c r="C147" s="20"/>
      <c r="D147" s="20"/>
      <c r="E147" s="20"/>
      <c r="F147" s="20"/>
      <c r="G147" s="20"/>
      <c r="H147" s="20"/>
      <c r="I147" s="20"/>
      <c r="J147" s="20"/>
      <c r="K147" s="32"/>
      <c r="L147" s="2"/>
    </row>
    <row r="148" spans="1:12" x14ac:dyDescent="0.25">
      <c r="A148" s="58">
        <v>46028</v>
      </c>
      <c r="B148" s="18">
        <v>0.875</v>
      </c>
      <c r="C148" s="20"/>
      <c r="D148" s="20"/>
      <c r="E148" s="20"/>
      <c r="F148" s="20"/>
      <c r="G148" s="20"/>
      <c r="H148" s="20"/>
      <c r="I148" s="20"/>
      <c r="J148" s="20"/>
      <c r="K148" s="32"/>
      <c r="L148" s="2"/>
    </row>
    <row r="149" spans="1:12" x14ac:dyDescent="0.25">
      <c r="A149" s="58">
        <v>46028</v>
      </c>
      <c r="B149" s="18">
        <v>0.91666666666666663</v>
      </c>
      <c r="C149" s="20"/>
      <c r="D149" s="20"/>
      <c r="E149" s="20"/>
      <c r="F149" s="20"/>
      <c r="G149" s="20"/>
      <c r="H149" s="20"/>
      <c r="I149" s="20"/>
      <c r="J149" s="20"/>
      <c r="K149" s="32"/>
      <c r="L149" s="2"/>
    </row>
    <row r="150" spans="1:12" ht="15.75" thickBot="1" x14ac:dyDescent="0.3">
      <c r="A150" s="59">
        <v>46028</v>
      </c>
      <c r="B150" s="22">
        <v>0.95833333333333337</v>
      </c>
      <c r="C150" s="33"/>
      <c r="D150" s="33"/>
      <c r="E150" s="33"/>
      <c r="F150" s="33"/>
      <c r="G150" s="33"/>
      <c r="H150" s="33"/>
      <c r="I150" s="33"/>
      <c r="J150" s="33"/>
      <c r="K150" s="34"/>
      <c r="L150" s="2"/>
    </row>
    <row r="151" spans="1:12" ht="15.75" thickBot="1" x14ac:dyDescent="0.3">
      <c r="A151" s="26" t="s">
        <v>17</v>
      </c>
      <c r="B151" s="44"/>
      <c r="C151" s="45" t="str">
        <f t="shared" ref="C151:K151" si="5">IFERROR(ROUND(AVERAGE(C127:C150), 2), "")</f>
        <v/>
      </c>
      <c r="D151" s="45" t="str">
        <f t="shared" si="5"/>
        <v/>
      </c>
      <c r="E151" s="45" t="str">
        <f t="shared" si="5"/>
        <v/>
      </c>
      <c r="F151" s="45" t="str">
        <f t="shared" si="5"/>
        <v/>
      </c>
      <c r="G151" s="45" t="str">
        <f t="shared" si="5"/>
        <v/>
      </c>
      <c r="H151" s="45" t="str">
        <f t="shared" si="5"/>
        <v/>
      </c>
      <c r="I151" s="45" t="str">
        <f t="shared" si="5"/>
        <v/>
      </c>
      <c r="J151" s="45" t="str">
        <f t="shared" si="5"/>
        <v/>
      </c>
      <c r="K151" s="46" t="str">
        <f t="shared" si="5"/>
        <v/>
      </c>
      <c r="L151" s="7"/>
    </row>
    <row r="152" spans="1:12" x14ac:dyDescent="0.25">
      <c r="A152" s="57">
        <v>46029</v>
      </c>
      <c r="B152" s="14">
        <v>0</v>
      </c>
      <c r="C152" s="16"/>
      <c r="D152" s="16"/>
      <c r="E152" s="16"/>
      <c r="F152" s="16"/>
      <c r="G152" s="16"/>
      <c r="H152" s="16"/>
      <c r="I152" s="16"/>
      <c r="J152" s="16"/>
      <c r="K152" s="31"/>
      <c r="L152" s="2"/>
    </row>
    <row r="153" spans="1:12" x14ac:dyDescent="0.25">
      <c r="A153" s="58">
        <v>46029</v>
      </c>
      <c r="B153" s="18">
        <v>4.1666666666666664E-2</v>
      </c>
      <c r="C153" s="20"/>
      <c r="D153" s="20"/>
      <c r="E153" s="20"/>
      <c r="F153" s="20"/>
      <c r="G153" s="20"/>
      <c r="H153" s="20"/>
      <c r="I153" s="20"/>
      <c r="J153" s="20"/>
      <c r="K153" s="32"/>
      <c r="L153" s="2"/>
    </row>
    <row r="154" spans="1:12" x14ac:dyDescent="0.25">
      <c r="A154" s="58">
        <v>46029</v>
      </c>
      <c r="B154" s="18">
        <v>8.3333333333333329E-2</v>
      </c>
      <c r="C154" s="20"/>
      <c r="D154" s="20"/>
      <c r="E154" s="20"/>
      <c r="F154" s="20"/>
      <c r="G154" s="20"/>
      <c r="H154" s="20"/>
      <c r="I154" s="20"/>
      <c r="J154" s="20"/>
      <c r="K154" s="32"/>
      <c r="L154" s="2"/>
    </row>
    <row r="155" spans="1:12" x14ac:dyDescent="0.25">
      <c r="A155" s="58">
        <v>46029</v>
      </c>
      <c r="B155" s="18">
        <v>0.125</v>
      </c>
      <c r="C155" s="20"/>
      <c r="D155" s="20"/>
      <c r="E155" s="20"/>
      <c r="F155" s="20"/>
      <c r="G155" s="20"/>
      <c r="H155" s="20"/>
      <c r="I155" s="20"/>
      <c r="J155" s="20"/>
      <c r="K155" s="32"/>
      <c r="L155" s="2"/>
    </row>
    <row r="156" spans="1:12" x14ac:dyDescent="0.25">
      <c r="A156" s="58">
        <v>46029</v>
      </c>
      <c r="B156" s="18">
        <v>0.16666666666666666</v>
      </c>
      <c r="C156" s="20"/>
      <c r="D156" s="20"/>
      <c r="E156" s="20"/>
      <c r="F156" s="20"/>
      <c r="G156" s="20"/>
      <c r="H156" s="20"/>
      <c r="I156" s="20"/>
      <c r="J156" s="20"/>
      <c r="K156" s="32"/>
      <c r="L156" s="2"/>
    </row>
    <row r="157" spans="1:12" x14ac:dyDescent="0.25">
      <c r="A157" s="58">
        <v>46029</v>
      </c>
      <c r="B157" s="18">
        <v>0.20833333333333334</v>
      </c>
      <c r="C157" s="20"/>
      <c r="D157" s="20"/>
      <c r="E157" s="20"/>
      <c r="F157" s="20"/>
      <c r="G157" s="20"/>
      <c r="H157" s="20"/>
      <c r="I157" s="20"/>
      <c r="J157" s="20"/>
      <c r="K157" s="32"/>
      <c r="L157" s="2"/>
    </row>
    <row r="158" spans="1:12" x14ac:dyDescent="0.25">
      <c r="A158" s="58">
        <v>46029</v>
      </c>
      <c r="B158" s="18">
        <v>0.25</v>
      </c>
      <c r="C158" s="20"/>
      <c r="D158" s="20"/>
      <c r="E158" s="20"/>
      <c r="F158" s="20"/>
      <c r="G158" s="20"/>
      <c r="H158" s="20"/>
      <c r="I158" s="20"/>
      <c r="J158" s="20"/>
      <c r="K158" s="32"/>
      <c r="L158" s="2"/>
    </row>
    <row r="159" spans="1:12" x14ac:dyDescent="0.25">
      <c r="A159" s="58">
        <v>46029</v>
      </c>
      <c r="B159" s="18">
        <v>0.29166666666666669</v>
      </c>
      <c r="C159" s="20"/>
      <c r="D159" s="20"/>
      <c r="E159" s="20"/>
      <c r="F159" s="20"/>
      <c r="G159" s="20"/>
      <c r="H159" s="20"/>
      <c r="I159" s="20"/>
      <c r="J159" s="20"/>
      <c r="K159" s="32"/>
      <c r="L159" s="2"/>
    </row>
    <row r="160" spans="1:12" x14ac:dyDescent="0.25">
      <c r="A160" s="58">
        <v>46029</v>
      </c>
      <c r="B160" s="18">
        <v>0.33333333333333331</v>
      </c>
      <c r="C160" s="20"/>
      <c r="D160" s="20"/>
      <c r="E160" s="20"/>
      <c r="F160" s="20"/>
      <c r="G160" s="20"/>
      <c r="H160" s="20"/>
      <c r="I160" s="20"/>
      <c r="J160" s="20"/>
      <c r="K160" s="32"/>
      <c r="L160" s="2"/>
    </row>
    <row r="161" spans="1:12" x14ac:dyDescent="0.25">
      <c r="A161" s="58">
        <v>46029</v>
      </c>
      <c r="B161" s="18">
        <v>0.375</v>
      </c>
      <c r="C161" s="20"/>
      <c r="D161" s="20"/>
      <c r="E161" s="20"/>
      <c r="F161" s="20"/>
      <c r="G161" s="20"/>
      <c r="H161" s="20"/>
      <c r="I161" s="20"/>
      <c r="J161" s="20"/>
      <c r="K161" s="32"/>
      <c r="L161" s="2"/>
    </row>
    <row r="162" spans="1:12" x14ac:dyDescent="0.25">
      <c r="A162" s="58">
        <v>46029</v>
      </c>
      <c r="B162" s="18">
        <v>0.41666666666666669</v>
      </c>
      <c r="C162" s="20"/>
      <c r="D162" s="20"/>
      <c r="E162" s="20"/>
      <c r="F162" s="20"/>
      <c r="G162" s="20"/>
      <c r="H162" s="20"/>
      <c r="I162" s="20"/>
      <c r="J162" s="20"/>
      <c r="K162" s="32"/>
      <c r="L162" s="2"/>
    </row>
    <row r="163" spans="1:12" x14ac:dyDescent="0.25">
      <c r="A163" s="58">
        <v>46029</v>
      </c>
      <c r="B163" s="18">
        <v>0.45833333333333331</v>
      </c>
      <c r="C163" s="20"/>
      <c r="D163" s="20"/>
      <c r="E163" s="20"/>
      <c r="F163" s="20"/>
      <c r="G163" s="20"/>
      <c r="H163" s="20"/>
      <c r="I163" s="20"/>
      <c r="J163" s="20"/>
      <c r="K163" s="32"/>
      <c r="L163" s="2"/>
    </row>
    <row r="164" spans="1:12" x14ac:dyDescent="0.25">
      <c r="A164" s="58">
        <v>46029</v>
      </c>
      <c r="B164" s="18">
        <v>0.5</v>
      </c>
      <c r="C164" s="20"/>
      <c r="D164" s="20"/>
      <c r="E164" s="20"/>
      <c r="F164" s="20"/>
      <c r="G164" s="20"/>
      <c r="H164" s="20"/>
      <c r="I164" s="20"/>
      <c r="J164" s="20"/>
      <c r="K164" s="32"/>
      <c r="L164" s="2"/>
    </row>
    <row r="165" spans="1:12" x14ac:dyDescent="0.25">
      <c r="A165" s="58">
        <v>46029</v>
      </c>
      <c r="B165" s="18">
        <v>0.54166666666666663</v>
      </c>
      <c r="C165" s="20"/>
      <c r="D165" s="20"/>
      <c r="E165" s="20"/>
      <c r="F165" s="20"/>
      <c r="G165" s="20"/>
      <c r="H165" s="20"/>
      <c r="I165" s="20"/>
      <c r="J165" s="20"/>
      <c r="K165" s="32"/>
      <c r="L165" s="2"/>
    </row>
    <row r="166" spans="1:12" x14ac:dyDescent="0.25">
      <c r="A166" s="58">
        <v>46029</v>
      </c>
      <c r="B166" s="18">
        <v>0.58333333333333337</v>
      </c>
      <c r="C166" s="20"/>
      <c r="D166" s="20"/>
      <c r="E166" s="20"/>
      <c r="F166" s="20"/>
      <c r="G166" s="20"/>
      <c r="H166" s="20"/>
      <c r="I166" s="20"/>
      <c r="J166" s="20"/>
      <c r="K166" s="32"/>
      <c r="L166" s="2"/>
    </row>
    <row r="167" spans="1:12" x14ac:dyDescent="0.25">
      <c r="A167" s="58">
        <v>46029</v>
      </c>
      <c r="B167" s="18">
        <v>0.625</v>
      </c>
      <c r="C167" s="20"/>
      <c r="D167" s="20"/>
      <c r="E167" s="20"/>
      <c r="F167" s="20"/>
      <c r="G167" s="20"/>
      <c r="H167" s="20"/>
      <c r="I167" s="20"/>
      <c r="J167" s="20"/>
      <c r="K167" s="32"/>
      <c r="L167" s="2"/>
    </row>
    <row r="168" spans="1:12" x14ac:dyDescent="0.25">
      <c r="A168" s="58">
        <v>46029</v>
      </c>
      <c r="B168" s="18">
        <v>0.66666666666666663</v>
      </c>
      <c r="C168" s="20"/>
      <c r="D168" s="20"/>
      <c r="E168" s="20"/>
      <c r="F168" s="20"/>
      <c r="G168" s="20"/>
      <c r="H168" s="20"/>
      <c r="I168" s="20"/>
      <c r="J168" s="20"/>
      <c r="K168" s="32"/>
      <c r="L168" s="2"/>
    </row>
    <row r="169" spans="1:12" x14ac:dyDescent="0.25">
      <c r="A169" s="58">
        <v>46029</v>
      </c>
      <c r="B169" s="18">
        <v>0.70833333333333337</v>
      </c>
      <c r="C169" s="20"/>
      <c r="D169" s="20"/>
      <c r="E169" s="20"/>
      <c r="F169" s="20"/>
      <c r="G169" s="20"/>
      <c r="H169" s="20"/>
      <c r="I169" s="20"/>
      <c r="J169" s="20"/>
      <c r="K169" s="32"/>
      <c r="L169" s="2"/>
    </row>
    <row r="170" spans="1:12" x14ac:dyDescent="0.25">
      <c r="A170" s="58">
        <v>46029</v>
      </c>
      <c r="B170" s="18">
        <v>0.75</v>
      </c>
      <c r="C170" s="20"/>
      <c r="D170" s="20"/>
      <c r="E170" s="20"/>
      <c r="F170" s="20"/>
      <c r="G170" s="20"/>
      <c r="H170" s="20"/>
      <c r="I170" s="20"/>
      <c r="J170" s="20"/>
      <c r="K170" s="32"/>
      <c r="L170" s="2"/>
    </row>
    <row r="171" spans="1:12" x14ac:dyDescent="0.25">
      <c r="A171" s="58">
        <v>46029</v>
      </c>
      <c r="B171" s="18">
        <v>0.79166666666666663</v>
      </c>
      <c r="C171" s="20"/>
      <c r="D171" s="20"/>
      <c r="E171" s="20"/>
      <c r="F171" s="20"/>
      <c r="G171" s="20"/>
      <c r="H171" s="20"/>
      <c r="I171" s="20"/>
      <c r="J171" s="20"/>
      <c r="K171" s="32"/>
      <c r="L171" s="2"/>
    </row>
    <row r="172" spans="1:12" x14ac:dyDescent="0.25">
      <c r="A172" s="58">
        <v>46029</v>
      </c>
      <c r="B172" s="18">
        <v>0.83333333333333337</v>
      </c>
      <c r="C172" s="20"/>
      <c r="D172" s="20"/>
      <c r="E172" s="20"/>
      <c r="F172" s="20"/>
      <c r="G172" s="20"/>
      <c r="H172" s="20"/>
      <c r="I172" s="20"/>
      <c r="J172" s="20"/>
      <c r="K172" s="32"/>
      <c r="L172" s="2"/>
    </row>
    <row r="173" spans="1:12" x14ac:dyDescent="0.25">
      <c r="A173" s="58">
        <v>46029</v>
      </c>
      <c r="B173" s="18">
        <v>0.875</v>
      </c>
      <c r="C173" s="20"/>
      <c r="D173" s="20"/>
      <c r="E173" s="20"/>
      <c r="F173" s="20"/>
      <c r="G173" s="20"/>
      <c r="H173" s="20"/>
      <c r="I173" s="20"/>
      <c r="J173" s="20"/>
      <c r="K173" s="32"/>
      <c r="L173" s="2"/>
    </row>
    <row r="174" spans="1:12" x14ac:dyDescent="0.25">
      <c r="A174" s="58">
        <v>46029</v>
      </c>
      <c r="B174" s="18">
        <v>0.91666666666666663</v>
      </c>
      <c r="C174" s="20"/>
      <c r="D174" s="20"/>
      <c r="E174" s="20"/>
      <c r="F174" s="20"/>
      <c r="G174" s="20"/>
      <c r="H174" s="20"/>
      <c r="I174" s="20"/>
      <c r="J174" s="20"/>
      <c r="K174" s="32"/>
      <c r="L174" s="2"/>
    </row>
    <row r="175" spans="1:12" ht="15.75" thickBot="1" x14ac:dyDescent="0.3">
      <c r="A175" s="60">
        <v>46029</v>
      </c>
      <c r="B175" s="35">
        <v>0.95833333333333337</v>
      </c>
      <c r="C175" s="24"/>
      <c r="D175" s="24"/>
      <c r="E175" s="24"/>
      <c r="F175" s="24"/>
      <c r="G175" s="24"/>
      <c r="H175" s="24"/>
      <c r="I175" s="24"/>
      <c r="J175" s="24"/>
      <c r="K175" s="36"/>
      <c r="L175" s="2"/>
    </row>
    <row r="176" spans="1:12" ht="15.75" thickBot="1" x14ac:dyDescent="0.3">
      <c r="A176" s="26" t="s">
        <v>18</v>
      </c>
      <c r="B176" s="44"/>
      <c r="C176" s="45" t="str">
        <f t="shared" ref="C176:K176" si="6">IFERROR(ROUND(AVERAGE(C152:C175), 2), "")</f>
        <v/>
      </c>
      <c r="D176" s="45" t="str">
        <f t="shared" si="6"/>
        <v/>
      </c>
      <c r="E176" s="45" t="str">
        <f t="shared" si="6"/>
        <v/>
      </c>
      <c r="F176" s="45" t="str">
        <f t="shared" si="6"/>
        <v/>
      </c>
      <c r="G176" s="45" t="str">
        <f t="shared" si="6"/>
        <v/>
      </c>
      <c r="H176" s="45" t="str">
        <f t="shared" si="6"/>
        <v/>
      </c>
      <c r="I176" s="45" t="str">
        <f t="shared" si="6"/>
        <v/>
      </c>
      <c r="J176" s="45" t="str">
        <f t="shared" si="6"/>
        <v/>
      </c>
      <c r="K176" s="46" t="str">
        <f t="shared" si="6"/>
        <v/>
      </c>
      <c r="L176" s="7"/>
    </row>
    <row r="177" spans="1:12" x14ac:dyDescent="0.25">
      <c r="A177" s="57">
        <v>46030</v>
      </c>
      <c r="B177" s="14">
        <v>0</v>
      </c>
      <c r="C177" s="16"/>
      <c r="D177" s="16"/>
      <c r="E177" s="16"/>
      <c r="F177" s="16"/>
      <c r="G177" s="16"/>
      <c r="H177" s="16"/>
      <c r="I177" s="16"/>
      <c r="J177" s="16"/>
      <c r="K177" s="31"/>
      <c r="L177" s="2"/>
    </row>
    <row r="178" spans="1:12" x14ac:dyDescent="0.25">
      <c r="A178" s="58">
        <v>46030</v>
      </c>
      <c r="B178" s="18">
        <v>4.1666666666666664E-2</v>
      </c>
      <c r="C178" s="20"/>
      <c r="D178" s="20"/>
      <c r="E178" s="20"/>
      <c r="F178" s="20"/>
      <c r="G178" s="20"/>
      <c r="H178" s="20"/>
      <c r="I178" s="20"/>
      <c r="J178" s="20"/>
      <c r="K178" s="32"/>
      <c r="L178" s="2"/>
    </row>
    <row r="179" spans="1:12" x14ac:dyDescent="0.25">
      <c r="A179" s="58">
        <v>46030</v>
      </c>
      <c r="B179" s="18">
        <v>8.3333333333333329E-2</v>
      </c>
      <c r="C179" s="20"/>
      <c r="D179" s="20"/>
      <c r="E179" s="20"/>
      <c r="F179" s="20"/>
      <c r="G179" s="20"/>
      <c r="H179" s="20"/>
      <c r="I179" s="20"/>
      <c r="J179" s="20"/>
      <c r="K179" s="32"/>
      <c r="L179" s="2"/>
    </row>
    <row r="180" spans="1:12" x14ac:dyDescent="0.25">
      <c r="A180" s="58">
        <v>46030</v>
      </c>
      <c r="B180" s="18">
        <v>0.125</v>
      </c>
      <c r="C180" s="20"/>
      <c r="D180" s="20"/>
      <c r="E180" s="20"/>
      <c r="F180" s="20"/>
      <c r="G180" s="20"/>
      <c r="H180" s="20"/>
      <c r="I180" s="20"/>
      <c r="J180" s="20"/>
      <c r="K180" s="32"/>
      <c r="L180" s="2"/>
    </row>
    <row r="181" spans="1:12" x14ac:dyDescent="0.25">
      <c r="A181" s="58">
        <v>46030</v>
      </c>
      <c r="B181" s="18">
        <v>0.16666666666666666</v>
      </c>
      <c r="C181" s="20"/>
      <c r="D181" s="20"/>
      <c r="E181" s="20"/>
      <c r="F181" s="20"/>
      <c r="G181" s="20"/>
      <c r="H181" s="20"/>
      <c r="I181" s="20"/>
      <c r="J181" s="20"/>
      <c r="K181" s="32"/>
      <c r="L181" s="2"/>
    </row>
    <row r="182" spans="1:12" x14ac:dyDescent="0.25">
      <c r="A182" s="58">
        <v>46030</v>
      </c>
      <c r="B182" s="18">
        <v>0.20833333333333334</v>
      </c>
      <c r="C182" s="20"/>
      <c r="D182" s="20"/>
      <c r="E182" s="20"/>
      <c r="F182" s="20"/>
      <c r="G182" s="20"/>
      <c r="H182" s="20"/>
      <c r="I182" s="20"/>
      <c r="J182" s="20"/>
      <c r="K182" s="32"/>
      <c r="L182" s="2"/>
    </row>
    <row r="183" spans="1:12" x14ac:dyDescent="0.25">
      <c r="A183" s="58">
        <v>46030</v>
      </c>
      <c r="B183" s="18">
        <v>0.25</v>
      </c>
      <c r="C183" s="20"/>
      <c r="D183" s="20"/>
      <c r="E183" s="20"/>
      <c r="F183" s="20"/>
      <c r="G183" s="20"/>
      <c r="H183" s="20"/>
      <c r="I183" s="20"/>
      <c r="J183" s="20"/>
      <c r="K183" s="32"/>
      <c r="L183" s="2"/>
    </row>
    <row r="184" spans="1:12" x14ac:dyDescent="0.25">
      <c r="A184" s="58">
        <v>46030</v>
      </c>
      <c r="B184" s="18">
        <v>0.29166666666666669</v>
      </c>
      <c r="C184" s="20"/>
      <c r="D184" s="20"/>
      <c r="E184" s="20"/>
      <c r="F184" s="20"/>
      <c r="G184" s="20"/>
      <c r="H184" s="20"/>
      <c r="I184" s="20"/>
      <c r="J184" s="20"/>
      <c r="K184" s="32"/>
      <c r="L184" s="2"/>
    </row>
    <row r="185" spans="1:12" x14ac:dyDescent="0.25">
      <c r="A185" s="58">
        <v>46030</v>
      </c>
      <c r="B185" s="18">
        <v>0.33333333333333331</v>
      </c>
      <c r="C185" s="20"/>
      <c r="D185" s="20"/>
      <c r="E185" s="20"/>
      <c r="F185" s="20"/>
      <c r="G185" s="20"/>
      <c r="H185" s="20"/>
      <c r="I185" s="20"/>
      <c r="J185" s="20"/>
      <c r="K185" s="32"/>
      <c r="L185" s="2"/>
    </row>
    <row r="186" spans="1:12" x14ac:dyDescent="0.25">
      <c r="A186" s="58">
        <v>46030</v>
      </c>
      <c r="B186" s="18">
        <v>0.375</v>
      </c>
      <c r="C186" s="20"/>
      <c r="D186" s="20"/>
      <c r="E186" s="20"/>
      <c r="F186" s="20"/>
      <c r="G186" s="20"/>
      <c r="H186" s="20"/>
      <c r="I186" s="20"/>
      <c r="J186" s="20"/>
      <c r="K186" s="32"/>
      <c r="L186" s="2"/>
    </row>
    <row r="187" spans="1:12" x14ac:dyDescent="0.25">
      <c r="A187" s="58">
        <v>46030</v>
      </c>
      <c r="B187" s="18">
        <v>0.41666666666666669</v>
      </c>
      <c r="C187" s="20"/>
      <c r="D187" s="20"/>
      <c r="E187" s="20"/>
      <c r="F187" s="20"/>
      <c r="G187" s="20"/>
      <c r="H187" s="20"/>
      <c r="I187" s="20"/>
      <c r="J187" s="20"/>
      <c r="K187" s="32"/>
      <c r="L187" s="2"/>
    </row>
    <row r="188" spans="1:12" x14ac:dyDescent="0.25">
      <c r="A188" s="58">
        <v>46030</v>
      </c>
      <c r="B188" s="18">
        <v>0.45833333333333331</v>
      </c>
      <c r="C188" s="20"/>
      <c r="D188" s="20"/>
      <c r="E188" s="20"/>
      <c r="F188" s="20"/>
      <c r="G188" s="20"/>
      <c r="H188" s="20"/>
      <c r="I188" s="20"/>
      <c r="J188" s="20"/>
      <c r="K188" s="32"/>
      <c r="L188" s="2"/>
    </row>
    <row r="189" spans="1:12" x14ac:dyDescent="0.25">
      <c r="A189" s="58">
        <v>46030</v>
      </c>
      <c r="B189" s="18">
        <v>0.5</v>
      </c>
      <c r="C189" s="20"/>
      <c r="D189" s="20"/>
      <c r="E189" s="20"/>
      <c r="F189" s="20"/>
      <c r="G189" s="20"/>
      <c r="H189" s="20"/>
      <c r="I189" s="20"/>
      <c r="J189" s="20"/>
      <c r="K189" s="32"/>
      <c r="L189" s="2"/>
    </row>
    <row r="190" spans="1:12" x14ac:dyDescent="0.25">
      <c r="A190" s="58">
        <v>46030</v>
      </c>
      <c r="B190" s="18">
        <v>0.54166666666666663</v>
      </c>
      <c r="C190" s="20"/>
      <c r="D190" s="20"/>
      <c r="E190" s="20"/>
      <c r="F190" s="20"/>
      <c r="G190" s="20"/>
      <c r="H190" s="20"/>
      <c r="I190" s="20"/>
      <c r="J190" s="20"/>
      <c r="K190" s="32"/>
      <c r="L190" s="2"/>
    </row>
    <row r="191" spans="1:12" x14ac:dyDescent="0.25">
      <c r="A191" s="58">
        <v>46030</v>
      </c>
      <c r="B191" s="18">
        <v>0.58333333333333337</v>
      </c>
      <c r="C191" s="20"/>
      <c r="D191" s="20"/>
      <c r="E191" s="20"/>
      <c r="F191" s="20"/>
      <c r="G191" s="20"/>
      <c r="H191" s="20"/>
      <c r="I191" s="20"/>
      <c r="J191" s="20"/>
      <c r="K191" s="32"/>
      <c r="L191" s="2"/>
    </row>
    <row r="192" spans="1:12" x14ac:dyDescent="0.25">
      <c r="A192" s="58">
        <v>46030</v>
      </c>
      <c r="B192" s="18">
        <v>0.625</v>
      </c>
      <c r="C192" s="20"/>
      <c r="D192" s="20"/>
      <c r="E192" s="20"/>
      <c r="F192" s="20"/>
      <c r="G192" s="20"/>
      <c r="H192" s="20"/>
      <c r="I192" s="20"/>
      <c r="J192" s="20"/>
      <c r="K192" s="32"/>
      <c r="L192" s="2"/>
    </row>
    <row r="193" spans="1:12" x14ac:dyDescent="0.25">
      <c r="A193" s="58">
        <v>46030</v>
      </c>
      <c r="B193" s="18">
        <v>0.66666666666666663</v>
      </c>
      <c r="C193" s="20"/>
      <c r="D193" s="20"/>
      <c r="E193" s="20"/>
      <c r="F193" s="20"/>
      <c r="G193" s="20"/>
      <c r="H193" s="20"/>
      <c r="I193" s="20"/>
      <c r="J193" s="20"/>
      <c r="K193" s="32"/>
      <c r="L193" s="2"/>
    </row>
    <row r="194" spans="1:12" x14ac:dyDescent="0.25">
      <c r="A194" s="58">
        <v>46030</v>
      </c>
      <c r="B194" s="18">
        <v>0.70833333333333337</v>
      </c>
      <c r="C194" s="20"/>
      <c r="D194" s="20"/>
      <c r="E194" s="20"/>
      <c r="F194" s="20"/>
      <c r="G194" s="20"/>
      <c r="H194" s="20"/>
      <c r="I194" s="20"/>
      <c r="J194" s="20"/>
      <c r="K194" s="32"/>
      <c r="L194" s="2"/>
    </row>
    <row r="195" spans="1:12" x14ac:dyDescent="0.25">
      <c r="A195" s="58">
        <v>46030</v>
      </c>
      <c r="B195" s="18">
        <v>0.75</v>
      </c>
      <c r="C195" s="20"/>
      <c r="D195" s="20"/>
      <c r="E195" s="20"/>
      <c r="F195" s="20"/>
      <c r="G195" s="20"/>
      <c r="H195" s="20"/>
      <c r="I195" s="20"/>
      <c r="J195" s="20"/>
      <c r="K195" s="32"/>
      <c r="L195" s="2"/>
    </row>
    <row r="196" spans="1:12" x14ac:dyDescent="0.25">
      <c r="A196" s="58">
        <v>46030</v>
      </c>
      <c r="B196" s="18">
        <v>0.79166666666666663</v>
      </c>
      <c r="C196" s="20"/>
      <c r="D196" s="20"/>
      <c r="E196" s="20"/>
      <c r="F196" s="20"/>
      <c r="G196" s="20"/>
      <c r="H196" s="20"/>
      <c r="I196" s="20"/>
      <c r="J196" s="20"/>
      <c r="K196" s="32"/>
      <c r="L196" s="2"/>
    </row>
    <row r="197" spans="1:12" x14ac:dyDescent="0.25">
      <c r="A197" s="58">
        <v>46030</v>
      </c>
      <c r="B197" s="18">
        <v>0.83333333333333337</v>
      </c>
      <c r="C197" s="20"/>
      <c r="D197" s="20"/>
      <c r="E197" s="20"/>
      <c r="F197" s="20"/>
      <c r="G197" s="20"/>
      <c r="H197" s="20"/>
      <c r="I197" s="20"/>
      <c r="J197" s="20"/>
      <c r="K197" s="32"/>
      <c r="L197" s="2"/>
    </row>
    <row r="198" spans="1:12" x14ac:dyDescent="0.25">
      <c r="A198" s="58">
        <v>46030</v>
      </c>
      <c r="B198" s="18">
        <v>0.875</v>
      </c>
      <c r="C198" s="20"/>
      <c r="D198" s="20"/>
      <c r="E198" s="20"/>
      <c r="F198" s="20"/>
      <c r="G198" s="20"/>
      <c r="H198" s="20"/>
      <c r="I198" s="20"/>
      <c r="J198" s="20"/>
      <c r="K198" s="32"/>
      <c r="L198" s="2"/>
    </row>
    <row r="199" spans="1:12" x14ac:dyDescent="0.25">
      <c r="A199" s="58">
        <v>46030</v>
      </c>
      <c r="B199" s="18">
        <v>0.91666666666666663</v>
      </c>
      <c r="C199" s="20"/>
      <c r="D199" s="20"/>
      <c r="E199" s="20"/>
      <c r="F199" s="20"/>
      <c r="G199" s="20"/>
      <c r="H199" s="20"/>
      <c r="I199" s="20"/>
      <c r="J199" s="20"/>
      <c r="K199" s="32"/>
      <c r="L199" s="2"/>
    </row>
    <row r="200" spans="1:12" ht="15.75" thickBot="1" x14ac:dyDescent="0.3">
      <c r="A200" s="60">
        <v>46030</v>
      </c>
      <c r="B200" s="35">
        <v>0.95833333333333337</v>
      </c>
      <c r="C200" s="24"/>
      <c r="D200" s="24"/>
      <c r="E200" s="24"/>
      <c r="F200" s="24"/>
      <c r="G200" s="24"/>
      <c r="H200" s="24"/>
      <c r="I200" s="24"/>
      <c r="J200" s="24"/>
      <c r="K200" s="36"/>
      <c r="L200" s="2"/>
    </row>
    <row r="201" spans="1:12" ht="15.75" thickBot="1" x14ac:dyDescent="0.3">
      <c r="A201" s="26" t="s">
        <v>19</v>
      </c>
      <c r="B201" s="44"/>
      <c r="C201" s="45" t="str">
        <f t="shared" ref="C201:K201" si="7">IFERROR(ROUND(AVERAGE(C177:C200), 2), "")</f>
        <v/>
      </c>
      <c r="D201" s="45" t="str">
        <f t="shared" si="7"/>
        <v/>
      </c>
      <c r="E201" s="45" t="str">
        <f t="shared" si="7"/>
        <v/>
      </c>
      <c r="F201" s="45" t="str">
        <f t="shared" si="7"/>
        <v/>
      </c>
      <c r="G201" s="45" t="str">
        <f t="shared" si="7"/>
        <v/>
      </c>
      <c r="H201" s="45" t="str">
        <f t="shared" si="7"/>
        <v/>
      </c>
      <c r="I201" s="45" t="str">
        <f t="shared" si="7"/>
        <v/>
      </c>
      <c r="J201" s="45" t="str">
        <f t="shared" si="7"/>
        <v/>
      </c>
      <c r="K201" s="46" t="str">
        <f t="shared" si="7"/>
        <v/>
      </c>
      <c r="L201" s="7"/>
    </row>
    <row r="202" spans="1:12" x14ac:dyDescent="0.25">
      <c r="A202" s="57">
        <v>46031</v>
      </c>
      <c r="B202" s="14">
        <v>0</v>
      </c>
      <c r="C202" s="16"/>
      <c r="D202" s="16"/>
      <c r="E202" s="16"/>
      <c r="F202" s="16"/>
      <c r="G202" s="16"/>
      <c r="H202" s="16"/>
      <c r="I202" s="16"/>
      <c r="J202" s="16"/>
      <c r="K202" s="31"/>
      <c r="L202" s="2"/>
    </row>
    <row r="203" spans="1:12" x14ac:dyDescent="0.25">
      <c r="A203" s="58">
        <v>46031</v>
      </c>
      <c r="B203" s="18">
        <v>4.1666666666666664E-2</v>
      </c>
      <c r="C203" s="20"/>
      <c r="D203" s="20"/>
      <c r="E203" s="20"/>
      <c r="F203" s="20"/>
      <c r="G203" s="20"/>
      <c r="H203" s="20"/>
      <c r="I203" s="20"/>
      <c r="J203" s="20"/>
      <c r="K203" s="32"/>
      <c r="L203" s="2"/>
    </row>
    <row r="204" spans="1:12" x14ac:dyDescent="0.25">
      <c r="A204" s="58">
        <v>46031</v>
      </c>
      <c r="B204" s="18">
        <v>8.3333333333333329E-2</v>
      </c>
      <c r="C204" s="20"/>
      <c r="D204" s="20"/>
      <c r="E204" s="20"/>
      <c r="F204" s="20"/>
      <c r="G204" s="20"/>
      <c r="H204" s="20"/>
      <c r="I204" s="20"/>
      <c r="J204" s="20"/>
      <c r="K204" s="32"/>
      <c r="L204" s="2"/>
    </row>
    <row r="205" spans="1:12" x14ac:dyDescent="0.25">
      <c r="A205" s="58">
        <v>46031</v>
      </c>
      <c r="B205" s="18">
        <v>0.125</v>
      </c>
      <c r="C205" s="20"/>
      <c r="D205" s="20"/>
      <c r="E205" s="20"/>
      <c r="F205" s="20"/>
      <c r="G205" s="20"/>
      <c r="H205" s="20"/>
      <c r="I205" s="20"/>
      <c r="J205" s="20"/>
      <c r="K205" s="32"/>
      <c r="L205" s="2"/>
    </row>
    <row r="206" spans="1:12" x14ac:dyDescent="0.25">
      <c r="A206" s="58">
        <v>46031</v>
      </c>
      <c r="B206" s="18">
        <v>0.16666666666666666</v>
      </c>
      <c r="C206" s="20"/>
      <c r="D206" s="20"/>
      <c r="E206" s="20"/>
      <c r="F206" s="20"/>
      <c r="G206" s="20"/>
      <c r="H206" s="20"/>
      <c r="I206" s="20"/>
      <c r="J206" s="20"/>
      <c r="K206" s="32"/>
      <c r="L206" s="2"/>
    </row>
    <row r="207" spans="1:12" x14ac:dyDescent="0.25">
      <c r="A207" s="58">
        <v>46031</v>
      </c>
      <c r="B207" s="18">
        <v>0.20833333333333334</v>
      </c>
      <c r="C207" s="20"/>
      <c r="D207" s="20"/>
      <c r="E207" s="20"/>
      <c r="F207" s="20"/>
      <c r="G207" s="20"/>
      <c r="H207" s="20"/>
      <c r="I207" s="20"/>
      <c r="J207" s="20"/>
      <c r="K207" s="32"/>
      <c r="L207" s="2"/>
    </row>
    <row r="208" spans="1:12" x14ac:dyDescent="0.25">
      <c r="A208" s="58">
        <v>46031</v>
      </c>
      <c r="B208" s="18">
        <v>0.25</v>
      </c>
      <c r="C208" s="20"/>
      <c r="D208" s="20"/>
      <c r="E208" s="20"/>
      <c r="F208" s="20"/>
      <c r="G208" s="20"/>
      <c r="H208" s="20"/>
      <c r="I208" s="20"/>
      <c r="J208" s="20"/>
      <c r="K208" s="32"/>
      <c r="L208" s="2"/>
    </row>
    <row r="209" spans="1:12" x14ac:dyDescent="0.25">
      <c r="A209" s="58">
        <v>46031</v>
      </c>
      <c r="B209" s="18">
        <v>0.29166666666666669</v>
      </c>
      <c r="C209" s="20"/>
      <c r="D209" s="20"/>
      <c r="E209" s="20"/>
      <c r="F209" s="20"/>
      <c r="G209" s="20"/>
      <c r="H209" s="20"/>
      <c r="I209" s="20"/>
      <c r="J209" s="20"/>
      <c r="K209" s="32"/>
      <c r="L209" s="2"/>
    </row>
    <row r="210" spans="1:12" x14ac:dyDescent="0.25">
      <c r="A210" s="58">
        <v>46031</v>
      </c>
      <c r="B210" s="18">
        <v>0.33333333333333331</v>
      </c>
      <c r="C210" s="20"/>
      <c r="D210" s="20"/>
      <c r="E210" s="20"/>
      <c r="F210" s="20"/>
      <c r="G210" s="20"/>
      <c r="H210" s="20"/>
      <c r="I210" s="20"/>
      <c r="J210" s="20"/>
      <c r="K210" s="32"/>
      <c r="L210" s="2"/>
    </row>
    <row r="211" spans="1:12" x14ac:dyDescent="0.25">
      <c r="A211" s="58">
        <v>46031</v>
      </c>
      <c r="B211" s="18">
        <v>0.375</v>
      </c>
      <c r="C211" s="20"/>
      <c r="D211" s="20"/>
      <c r="E211" s="20"/>
      <c r="F211" s="20"/>
      <c r="G211" s="20"/>
      <c r="H211" s="20"/>
      <c r="I211" s="20"/>
      <c r="J211" s="20"/>
      <c r="K211" s="32"/>
      <c r="L211" s="2"/>
    </row>
    <row r="212" spans="1:12" x14ac:dyDescent="0.25">
      <c r="A212" s="58">
        <v>46031</v>
      </c>
      <c r="B212" s="18">
        <v>0.41666666666666669</v>
      </c>
      <c r="C212" s="20"/>
      <c r="D212" s="20"/>
      <c r="E212" s="20"/>
      <c r="F212" s="20"/>
      <c r="G212" s="20"/>
      <c r="H212" s="20"/>
      <c r="I212" s="20"/>
      <c r="J212" s="20"/>
      <c r="K212" s="32"/>
      <c r="L212" s="2"/>
    </row>
    <row r="213" spans="1:12" x14ac:dyDescent="0.25">
      <c r="A213" s="58">
        <v>46031</v>
      </c>
      <c r="B213" s="18">
        <v>0.45833333333333331</v>
      </c>
      <c r="C213" s="20"/>
      <c r="D213" s="20"/>
      <c r="E213" s="20"/>
      <c r="F213" s="20"/>
      <c r="G213" s="20"/>
      <c r="H213" s="20"/>
      <c r="I213" s="20"/>
      <c r="J213" s="20"/>
      <c r="K213" s="32"/>
      <c r="L213" s="2"/>
    </row>
    <row r="214" spans="1:12" x14ac:dyDescent="0.25">
      <c r="A214" s="58">
        <v>46031</v>
      </c>
      <c r="B214" s="18">
        <v>0.5</v>
      </c>
      <c r="C214" s="20"/>
      <c r="D214" s="20"/>
      <c r="E214" s="20"/>
      <c r="F214" s="20"/>
      <c r="G214" s="20"/>
      <c r="H214" s="20"/>
      <c r="I214" s="20"/>
      <c r="J214" s="20"/>
      <c r="K214" s="32"/>
      <c r="L214" s="2"/>
    </row>
    <row r="215" spans="1:12" x14ac:dyDescent="0.25">
      <c r="A215" s="58">
        <v>46031</v>
      </c>
      <c r="B215" s="18">
        <v>0.54166666666666663</v>
      </c>
      <c r="C215" s="20"/>
      <c r="D215" s="20"/>
      <c r="E215" s="20"/>
      <c r="F215" s="20"/>
      <c r="G215" s="20"/>
      <c r="H215" s="20"/>
      <c r="I215" s="20"/>
      <c r="J215" s="20"/>
      <c r="K215" s="32"/>
      <c r="L215" s="2"/>
    </row>
    <row r="216" spans="1:12" x14ac:dyDescent="0.25">
      <c r="A216" s="58">
        <v>46031</v>
      </c>
      <c r="B216" s="18">
        <v>0.58333333333333337</v>
      </c>
      <c r="C216" s="20"/>
      <c r="D216" s="20"/>
      <c r="E216" s="20"/>
      <c r="F216" s="20"/>
      <c r="G216" s="20"/>
      <c r="H216" s="20"/>
      <c r="I216" s="20"/>
      <c r="J216" s="20"/>
      <c r="K216" s="32"/>
      <c r="L216" s="2"/>
    </row>
    <row r="217" spans="1:12" x14ac:dyDescent="0.25">
      <c r="A217" s="58">
        <v>46031</v>
      </c>
      <c r="B217" s="18">
        <v>0.625</v>
      </c>
      <c r="C217" s="20"/>
      <c r="D217" s="20"/>
      <c r="E217" s="20"/>
      <c r="F217" s="20"/>
      <c r="G217" s="20"/>
      <c r="H217" s="20"/>
      <c r="I217" s="20"/>
      <c r="J217" s="20"/>
      <c r="K217" s="32"/>
      <c r="L217" s="2"/>
    </row>
    <row r="218" spans="1:12" x14ac:dyDescent="0.25">
      <c r="A218" s="58">
        <v>46031</v>
      </c>
      <c r="B218" s="18">
        <v>0.66666666666666663</v>
      </c>
      <c r="C218" s="20"/>
      <c r="D218" s="20"/>
      <c r="E218" s="20"/>
      <c r="F218" s="20"/>
      <c r="G218" s="20"/>
      <c r="H218" s="20"/>
      <c r="I218" s="20"/>
      <c r="J218" s="20"/>
      <c r="K218" s="32"/>
      <c r="L218" s="2"/>
    </row>
    <row r="219" spans="1:12" x14ac:dyDescent="0.25">
      <c r="A219" s="58">
        <v>46031</v>
      </c>
      <c r="B219" s="18">
        <v>0.70833333333333337</v>
      </c>
      <c r="C219" s="20"/>
      <c r="D219" s="20"/>
      <c r="E219" s="20"/>
      <c r="F219" s="20"/>
      <c r="G219" s="20"/>
      <c r="H219" s="20"/>
      <c r="I219" s="20"/>
      <c r="J219" s="20"/>
      <c r="K219" s="32"/>
      <c r="L219" s="2"/>
    </row>
    <row r="220" spans="1:12" x14ac:dyDescent="0.25">
      <c r="A220" s="58">
        <v>46031</v>
      </c>
      <c r="B220" s="18">
        <v>0.75</v>
      </c>
      <c r="C220" s="20"/>
      <c r="D220" s="20"/>
      <c r="E220" s="20"/>
      <c r="F220" s="20"/>
      <c r="G220" s="20"/>
      <c r="H220" s="20"/>
      <c r="I220" s="20"/>
      <c r="J220" s="20"/>
      <c r="K220" s="32"/>
      <c r="L220" s="2"/>
    </row>
    <row r="221" spans="1:12" x14ac:dyDescent="0.25">
      <c r="A221" s="58">
        <v>46031</v>
      </c>
      <c r="B221" s="18">
        <v>0.79166666666666663</v>
      </c>
      <c r="C221" s="20"/>
      <c r="D221" s="20"/>
      <c r="E221" s="20"/>
      <c r="F221" s="20"/>
      <c r="G221" s="20"/>
      <c r="H221" s="20"/>
      <c r="I221" s="20"/>
      <c r="J221" s="20"/>
      <c r="K221" s="32"/>
      <c r="L221" s="2"/>
    </row>
    <row r="222" spans="1:12" x14ac:dyDescent="0.25">
      <c r="A222" s="58">
        <v>46031</v>
      </c>
      <c r="B222" s="18">
        <v>0.83333333333333337</v>
      </c>
      <c r="C222" s="20"/>
      <c r="D222" s="20"/>
      <c r="E222" s="20"/>
      <c r="F222" s="20"/>
      <c r="G222" s="20"/>
      <c r="H222" s="20"/>
      <c r="I222" s="20"/>
      <c r="J222" s="20"/>
      <c r="K222" s="32"/>
      <c r="L222" s="2"/>
    </row>
    <row r="223" spans="1:12" x14ac:dyDescent="0.25">
      <c r="A223" s="58">
        <v>46031</v>
      </c>
      <c r="B223" s="18">
        <v>0.875</v>
      </c>
      <c r="C223" s="20"/>
      <c r="D223" s="20"/>
      <c r="E223" s="20"/>
      <c r="F223" s="20"/>
      <c r="G223" s="20"/>
      <c r="H223" s="20"/>
      <c r="I223" s="20"/>
      <c r="J223" s="20"/>
      <c r="K223" s="32"/>
      <c r="L223" s="2"/>
    </row>
    <row r="224" spans="1:12" x14ac:dyDescent="0.25">
      <c r="A224" s="58">
        <v>46031</v>
      </c>
      <c r="B224" s="18">
        <v>0.91666666666666663</v>
      </c>
      <c r="C224" s="20"/>
      <c r="D224" s="20"/>
      <c r="E224" s="20"/>
      <c r="F224" s="20"/>
      <c r="G224" s="20"/>
      <c r="H224" s="20"/>
      <c r="I224" s="20"/>
      <c r="J224" s="20"/>
      <c r="K224" s="32"/>
      <c r="L224" s="2"/>
    </row>
    <row r="225" spans="1:12" ht="15.75" thickBot="1" x14ac:dyDescent="0.3">
      <c r="A225" s="60">
        <v>46031</v>
      </c>
      <c r="B225" s="35">
        <v>0.95833333333333337</v>
      </c>
      <c r="C225" s="24"/>
      <c r="D225" s="24"/>
      <c r="E225" s="24"/>
      <c r="F225" s="24"/>
      <c r="G225" s="24"/>
      <c r="H225" s="24"/>
      <c r="I225" s="24"/>
      <c r="J225" s="24"/>
      <c r="K225" s="36"/>
      <c r="L225" s="2"/>
    </row>
    <row r="226" spans="1:12" ht="15.75" thickBot="1" x14ac:dyDescent="0.3">
      <c r="A226" s="26" t="s">
        <v>20</v>
      </c>
      <c r="B226" s="44"/>
      <c r="C226" s="45" t="str">
        <f t="shared" ref="C226:K226" si="8">IFERROR(ROUND(AVERAGE(C202:C225), 2), "")</f>
        <v/>
      </c>
      <c r="D226" s="45" t="str">
        <f t="shared" si="8"/>
        <v/>
      </c>
      <c r="E226" s="45" t="str">
        <f t="shared" si="8"/>
        <v/>
      </c>
      <c r="F226" s="45" t="str">
        <f t="shared" si="8"/>
        <v/>
      </c>
      <c r="G226" s="45" t="str">
        <f t="shared" si="8"/>
        <v/>
      </c>
      <c r="H226" s="45" t="str">
        <f t="shared" si="8"/>
        <v/>
      </c>
      <c r="I226" s="45" t="str">
        <f t="shared" si="8"/>
        <v/>
      </c>
      <c r="J226" s="45" t="str">
        <f t="shared" si="8"/>
        <v/>
      </c>
      <c r="K226" s="46" t="str">
        <f t="shared" si="8"/>
        <v/>
      </c>
      <c r="L226" s="7"/>
    </row>
    <row r="227" spans="1:12" x14ac:dyDescent="0.25">
      <c r="A227" s="57">
        <v>46032</v>
      </c>
      <c r="B227" s="14">
        <v>0</v>
      </c>
      <c r="C227" s="16"/>
      <c r="D227" s="16"/>
      <c r="E227" s="16"/>
      <c r="F227" s="16"/>
      <c r="G227" s="16"/>
      <c r="H227" s="16"/>
      <c r="I227" s="16"/>
      <c r="J227" s="16"/>
      <c r="K227" s="31"/>
      <c r="L227" s="2"/>
    </row>
    <row r="228" spans="1:12" x14ac:dyDescent="0.25">
      <c r="A228" s="58">
        <v>46032</v>
      </c>
      <c r="B228" s="18">
        <v>4.1666666666666664E-2</v>
      </c>
      <c r="C228" s="20"/>
      <c r="D228" s="20"/>
      <c r="E228" s="20"/>
      <c r="F228" s="20"/>
      <c r="G228" s="20"/>
      <c r="H228" s="20"/>
      <c r="I228" s="20"/>
      <c r="J228" s="20"/>
      <c r="K228" s="32"/>
      <c r="L228" s="2"/>
    </row>
    <row r="229" spans="1:12" x14ac:dyDescent="0.25">
      <c r="A229" s="58">
        <v>46032</v>
      </c>
      <c r="B229" s="18">
        <v>8.3333333333333329E-2</v>
      </c>
      <c r="C229" s="20"/>
      <c r="D229" s="20"/>
      <c r="E229" s="20"/>
      <c r="F229" s="20"/>
      <c r="G229" s="20"/>
      <c r="H229" s="20"/>
      <c r="I229" s="20"/>
      <c r="J229" s="20"/>
      <c r="K229" s="32"/>
      <c r="L229" s="2"/>
    </row>
    <row r="230" spans="1:12" x14ac:dyDescent="0.25">
      <c r="A230" s="58">
        <v>46032</v>
      </c>
      <c r="B230" s="18">
        <v>0.125</v>
      </c>
      <c r="C230" s="20"/>
      <c r="D230" s="20"/>
      <c r="E230" s="20"/>
      <c r="F230" s="20"/>
      <c r="G230" s="20"/>
      <c r="H230" s="20"/>
      <c r="I230" s="20"/>
      <c r="J230" s="20"/>
      <c r="K230" s="32"/>
      <c r="L230" s="2"/>
    </row>
    <row r="231" spans="1:12" x14ac:dyDescent="0.25">
      <c r="A231" s="58">
        <v>46032</v>
      </c>
      <c r="B231" s="18">
        <v>0.16666666666666666</v>
      </c>
      <c r="C231" s="20"/>
      <c r="D231" s="20"/>
      <c r="E231" s="20"/>
      <c r="F231" s="20"/>
      <c r="G231" s="20"/>
      <c r="H231" s="20"/>
      <c r="I231" s="20"/>
      <c r="J231" s="20"/>
      <c r="K231" s="32"/>
      <c r="L231" s="2"/>
    </row>
    <row r="232" spans="1:12" x14ac:dyDescent="0.25">
      <c r="A232" s="58">
        <v>46032</v>
      </c>
      <c r="B232" s="18">
        <v>0.20833333333333334</v>
      </c>
      <c r="C232" s="20"/>
      <c r="D232" s="20"/>
      <c r="E232" s="20"/>
      <c r="F232" s="20"/>
      <c r="G232" s="20"/>
      <c r="H232" s="20"/>
      <c r="I232" s="20"/>
      <c r="J232" s="20"/>
      <c r="K232" s="32"/>
      <c r="L232" s="2"/>
    </row>
    <row r="233" spans="1:12" x14ac:dyDescent="0.25">
      <c r="A233" s="58">
        <v>46032</v>
      </c>
      <c r="B233" s="18">
        <v>0.25</v>
      </c>
      <c r="C233" s="20"/>
      <c r="D233" s="20"/>
      <c r="E233" s="20"/>
      <c r="F233" s="20"/>
      <c r="G233" s="20"/>
      <c r="H233" s="20"/>
      <c r="I233" s="20"/>
      <c r="J233" s="20"/>
      <c r="K233" s="32"/>
      <c r="L233" s="2"/>
    </row>
    <row r="234" spans="1:12" x14ac:dyDescent="0.25">
      <c r="A234" s="58">
        <v>46032</v>
      </c>
      <c r="B234" s="18">
        <v>0.29166666666666669</v>
      </c>
      <c r="C234" s="20"/>
      <c r="D234" s="20"/>
      <c r="E234" s="20"/>
      <c r="F234" s="20"/>
      <c r="G234" s="20"/>
      <c r="H234" s="20"/>
      <c r="I234" s="20"/>
      <c r="J234" s="20"/>
      <c r="K234" s="32"/>
      <c r="L234" s="2"/>
    </row>
    <row r="235" spans="1:12" x14ac:dyDescent="0.25">
      <c r="A235" s="58">
        <v>46032</v>
      </c>
      <c r="B235" s="18">
        <v>0.33333333333333331</v>
      </c>
      <c r="C235" s="20"/>
      <c r="D235" s="20"/>
      <c r="E235" s="20"/>
      <c r="F235" s="20"/>
      <c r="G235" s="20"/>
      <c r="H235" s="20"/>
      <c r="I235" s="20"/>
      <c r="J235" s="20"/>
      <c r="K235" s="32"/>
      <c r="L235" s="2"/>
    </row>
    <row r="236" spans="1:12" x14ac:dyDescent="0.25">
      <c r="A236" s="58">
        <v>46032</v>
      </c>
      <c r="B236" s="18">
        <v>0.375</v>
      </c>
      <c r="C236" s="20"/>
      <c r="D236" s="20"/>
      <c r="E236" s="20"/>
      <c r="F236" s="20"/>
      <c r="G236" s="20"/>
      <c r="H236" s="20"/>
      <c r="I236" s="20"/>
      <c r="J236" s="20"/>
      <c r="K236" s="32"/>
      <c r="L236" s="2"/>
    </row>
    <row r="237" spans="1:12" x14ac:dyDescent="0.25">
      <c r="A237" s="58">
        <v>46032</v>
      </c>
      <c r="B237" s="18">
        <v>0.41666666666666669</v>
      </c>
      <c r="C237" s="20"/>
      <c r="D237" s="20"/>
      <c r="E237" s="20"/>
      <c r="F237" s="20"/>
      <c r="G237" s="20"/>
      <c r="H237" s="20"/>
      <c r="I237" s="20"/>
      <c r="J237" s="20"/>
      <c r="K237" s="32"/>
      <c r="L237" s="2"/>
    </row>
    <row r="238" spans="1:12" x14ac:dyDescent="0.25">
      <c r="A238" s="58">
        <v>46032</v>
      </c>
      <c r="B238" s="18">
        <v>0.45833333333333331</v>
      </c>
      <c r="C238" s="20"/>
      <c r="D238" s="20"/>
      <c r="E238" s="20"/>
      <c r="F238" s="20"/>
      <c r="G238" s="20"/>
      <c r="H238" s="20"/>
      <c r="I238" s="20"/>
      <c r="J238" s="20"/>
      <c r="K238" s="32"/>
      <c r="L238" s="2"/>
    </row>
    <row r="239" spans="1:12" x14ac:dyDescent="0.25">
      <c r="A239" s="58">
        <v>46032</v>
      </c>
      <c r="B239" s="18">
        <v>0.5</v>
      </c>
      <c r="C239" s="20"/>
      <c r="D239" s="20"/>
      <c r="E239" s="20"/>
      <c r="F239" s="20"/>
      <c r="G239" s="20"/>
      <c r="H239" s="20"/>
      <c r="I239" s="20"/>
      <c r="J239" s="20"/>
      <c r="K239" s="32"/>
      <c r="L239" s="2"/>
    </row>
    <row r="240" spans="1:12" x14ac:dyDescent="0.25">
      <c r="A240" s="58">
        <v>46032</v>
      </c>
      <c r="B240" s="18">
        <v>0.54166666666666663</v>
      </c>
      <c r="C240" s="20"/>
      <c r="D240" s="20"/>
      <c r="E240" s="20"/>
      <c r="F240" s="20"/>
      <c r="G240" s="20"/>
      <c r="H240" s="20"/>
      <c r="I240" s="20"/>
      <c r="J240" s="20"/>
      <c r="K240" s="32"/>
      <c r="L240" s="2"/>
    </row>
    <row r="241" spans="1:12" x14ac:dyDescent="0.25">
      <c r="A241" s="58">
        <v>46032</v>
      </c>
      <c r="B241" s="18">
        <v>0.58333333333333337</v>
      </c>
      <c r="C241" s="20"/>
      <c r="D241" s="20"/>
      <c r="E241" s="20"/>
      <c r="F241" s="20"/>
      <c r="G241" s="20"/>
      <c r="H241" s="20"/>
      <c r="I241" s="20"/>
      <c r="J241" s="20"/>
      <c r="K241" s="32"/>
      <c r="L241" s="2"/>
    </row>
    <row r="242" spans="1:12" x14ac:dyDescent="0.25">
      <c r="A242" s="58">
        <v>46032</v>
      </c>
      <c r="B242" s="18">
        <v>0.625</v>
      </c>
      <c r="C242" s="20"/>
      <c r="D242" s="20"/>
      <c r="E242" s="20"/>
      <c r="F242" s="20"/>
      <c r="G242" s="20"/>
      <c r="H242" s="20"/>
      <c r="I242" s="20"/>
      <c r="J242" s="20"/>
      <c r="K242" s="32"/>
      <c r="L242" s="2"/>
    </row>
    <row r="243" spans="1:12" x14ac:dyDescent="0.25">
      <c r="A243" s="58">
        <v>46032</v>
      </c>
      <c r="B243" s="18">
        <v>0.66666666666666663</v>
      </c>
      <c r="C243" s="20"/>
      <c r="D243" s="20"/>
      <c r="E243" s="20"/>
      <c r="F243" s="20"/>
      <c r="G243" s="20"/>
      <c r="H243" s="20"/>
      <c r="I243" s="20"/>
      <c r="J243" s="20"/>
      <c r="K243" s="32"/>
      <c r="L243" s="2"/>
    </row>
    <row r="244" spans="1:12" x14ac:dyDescent="0.25">
      <c r="A244" s="58">
        <v>46032</v>
      </c>
      <c r="B244" s="18">
        <v>0.70833333333333337</v>
      </c>
      <c r="C244" s="20"/>
      <c r="D244" s="20"/>
      <c r="E244" s="20"/>
      <c r="F244" s="20"/>
      <c r="G244" s="20"/>
      <c r="H244" s="20"/>
      <c r="I244" s="20"/>
      <c r="J244" s="20"/>
      <c r="K244" s="32"/>
      <c r="L244" s="2"/>
    </row>
    <row r="245" spans="1:12" x14ac:dyDescent="0.25">
      <c r="A245" s="58">
        <v>46032</v>
      </c>
      <c r="B245" s="18">
        <v>0.75</v>
      </c>
      <c r="C245" s="20"/>
      <c r="D245" s="20"/>
      <c r="E245" s="20"/>
      <c r="F245" s="20"/>
      <c r="G245" s="20"/>
      <c r="H245" s="20"/>
      <c r="I245" s="20"/>
      <c r="J245" s="20"/>
      <c r="K245" s="32"/>
      <c r="L245" s="2"/>
    </row>
    <row r="246" spans="1:12" x14ac:dyDescent="0.25">
      <c r="A246" s="58">
        <v>46032</v>
      </c>
      <c r="B246" s="18">
        <v>0.79166666666666663</v>
      </c>
      <c r="C246" s="20"/>
      <c r="D246" s="20"/>
      <c r="E246" s="20"/>
      <c r="F246" s="20"/>
      <c r="G246" s="20"/>
      <c r="H246" s="20"/>
      <c r="I246" s="20"/>
      <c r="J246" s="20"/>
      <c r="K246" s="32"/>
      <c r="L246" s="2"/>
    </row>
    <row r="247" spans="1:12" x14ac:dyDescent="0.25">
      <c r="A247" s="58">
        <v>46032</v>
      </c>
      <c r="B247" s="18">
        <v>0.83333333333333337</v>
      </c>
      <c r="C247" s="20"/>
      <c r="D247" s="20"/>
      <c r="E247" s="20"/>
      <c r="F247" s="20"/>
      <c r="G247" s="20"/>
      <c r="H247" s="20"/>
      <c r="I247" s="20"/>
      <c r="J247" s="20"/>
      <c r="K247" s="32"/>
      <c r="L247" s="2"/>
    </row>
    <row r="248" spans="1:12" x14ac:dyDescent="0.25">
      <c r="A248" s="58">
        <v>46032</v>
      </c>
      <c r="B248" s="18">
        <v>0.875</v>
      </c>
      <c r="C248" s="20"/>
      <c r="D248" s="20"/>
      <c r="E248" s="20"/>
      <c r="F248" s="20"/>
      <c r="G248" s="20"/>
      <c r="H248" s="20"/>
      <c r="I248" s="20"/>
      <c r="J248" s="20"/>
      <c r="K248" s="32"/>
      <c r="L248" s="2"/>
    </row>
    <row r="249" spans="1:12" x14ac:dyDescent="0.25">
      <c r="A249" s="58">
        <v>46032</v>
      </c>
      <c r="B249" s="18">
        <v>0.91666666666666663</v>
      </c>
      <c r="C249" s="20"/>
      <c r="D249" s="20"/>
      <c r="E249" s="20"/>
      <c r="F249" s="20"/>
      <c r="G249" s="20"/>
      <c r="H249" s="20"/>
      <c r="I249" s="20"/>
      <c r="J249" s="20"/>
      <c r="K249" s="32"/>
      <c r="L249" s="2"/>
    </row>
    <row r="250" spans="1:12" ht="15.75" thickBot="1" x14ac:dyDescent="0.3">
      <c r="A250" s="60">
        <v>46032</v>
      </c>
      <c r="B250" s="35">
        <v>0.95833333333333337</v>
      </c>
      <c r="C250" s="24"/>
      <c r="D250" s="24"/>
      <c r="E250" s="24"/>
      <c r="F250" s="24"/>
      <c r="G250" s="24"/>
      <c r="H250" s="24"/>
      <c r="I250" s="24"/>
      <c r="J250" s="24"/>
      <c r="K250" s="36"/>
      <c r="L250" s="2"/>
    </row>
    <row r="251" spans="1:12" ht="15.75" thickBot="1" x14ac:dyDescent="0.3">
      <c r="A251" s="26" t="s">
        <v>21</v>
      </c>
      <c r="B251" s="44"/>
      <c r="C251" s="45" t="str">
        <f t="shared" ref="C251:K251" si="9">IFERROR(ROUND(AVERAGE(C227:C250), 2), "")</f>
        <v/>
      </c>
      <c r="D251" s="45" t="str">
        <f t="shared" si="9"/>
        <v/>
      </c>
      <c r="E251" s="45" t="str">
        <f t="shared" si="9"/>
        <v/>
      </c>
      <c r="F251" s="45" t="str">
        <f t="shared" si="9"/>
        <v/>
      </c>
      <c r="G251" s="45" t="str">
        <f t="shared" si="9"/>
        <v/>
      </c>
      <c r="H251" s="45" t="str">
        <f t="shared" si="9"/>
        <v/>
      </c>
      <c r="I251" s="45" t="str">
        <f t="shared" si="9"/>
        <v/>
      </c>
      <c r="J251" s="45" t="str">
        <f t="shared" si="9"/>
        <v/>
      </c>
      <c r="K251" s="46" t="str">
        <f t="shared" si="9"/>
        <v/>
      </c>
      <c r="L251" s="7"/>
    </row>
    <row r="252" spans="1:12" x14ac:dyDescent="0.25">
      <c r="A252" s="57">
        <v>46033</v>
      </c>
      <c r="B252" s="14">
        <v>0</v>
      </c>
      <c r="C252" s="16"/>
      <c r="D252" s="16"/>
      <c r="E252" s="16"/>
      <c r="F252" s="16"/>
      <c r="G252" s="16"/>
      <c r="H252" s="16"/>
      <c r="I252" s="16"/>
      <c r="J252" s="16"/>
      <c r="K252" s="31"/>
      <c r="L252" s="2"/>
    </row>
    <row r="253" spans="1:12" x14ac:dyDescent="0.25">
      <c r="A253" s="58">
        <v>46033</v>
      </c>
      <c r="B253" s="18">
        <v>4.1666666666666664E-2</v>
      </c>
      <c r="C253" s="20"/>
      <c r="D253" s="20"/>
      <c r="E253" s="20"/>
      <c r="F253" s="20"/>
      <c r="G253" s="20"/>
      <c r="H253" s="20"/>
      <c r="I253" s="20"/>
      <c r="J253" s="20"/>
      <c r="K253" s="32"/>
      <c r="L253" s="2"/>
    </row>
    <row r="254" spans="1:12" x14ac:dyDescent="0.25">
      <c r="A254" s="58">
        <v>46033</v>
      </c>
      <c r="B254" s="18">
        <v>8.3333333333333329E-2</v>
      </c>
      <c r="C254" s="20"/>
      <c r="D254" s="20"/>
      <c r="E254" s="20"/>
      <c r="F254" s="20"/>
      <c r="G254" s="20"/>
      <c r="H254" s="20"/>
      <c r="I254" s="20"/>
      <c r="J254" s="20"/>
      <c r="K254" s="32"/>
      <c r="L254" s="2"/>
    </row>
    <row r="255" spans="1:12" x14ac:dyDescent="0.25">
      <c r="A255" s="58">
        <v>46033</v>
      </c>
      <c r="B255" s="18">
        <v>0.125</v>
      </c>
      <c r="C255" s="20"/>
      <c r="D255" s="20"/>
      <c r="E255" s="20"/>
      <c r="F255" s="20"/>
      <c r="G255" s="20"/>
      <c r="H255" s="20"/>
      <c r="I255" s="20"/>
      <c r="J255" s="20"/>
      <c r="K255" s="32"/>
      <c r="L255" s="2"/>
    </row>
    <row r="256" spans="1:12" x14ac:dyDescent="0.25">
      <c r="A256" s="58">
        <v>46033</v>
      </c>
      <c r="B256" s="18">
        <v>0.16666666666666666</v>
      </c>
      <c r="C256" s="20"/>
      <c r="D256" s="20"/>
      <c r="E256" s="20"/>
      <c r="F256" s="20"/>
      <c r="G256" s="20"/>
      <c r="H256" s="20"/>
      <c r="I256" s="20"/>
      <c r="J256" s="20"/>
      <c r="K256" s="32"/>
      <c r="L256" s="2"/>
    </row>
    <row r="257" spans="1:12" x14ac:dyDescent="0.25">
      <c r="A257" s="58">
        <v>46033</v>
      </c>
      <c r="B257" s="18">
        <v>0.20833333333333334</v>
      </c>
      <c r="C257" s="20"/>
      <c r="D257" s="20"/>
      <c r="E257" s="20"/>
      <c r="F257" s="20"/>
      <c r="G257" s="20"/>
      <c r="H257" s="20"/>
      <c r="I257" s="20"/>
      <c r="J257" s="20"/>
      <c r="K257" s="32"/>
      <c r="L257" s="2"/>
    </row>
    <row r="258" spans="1:12" x14ac:dyDescent="0.25">
      <c r="A258" s="58">
        <v>46033</v>
      </c>
      <c r="B258" s="18">
        <v>0.25</v>
      </c>
      <c r="C258" s="20"/>
      <c r="D258" s="20"/>
      <c r="E258" s="20"/>
      <c r="F258" s="20"/>
      <c r="G258" s="20"/>
      <c r="H258" s="20"/>
      <c r="I258" s="20"/>
      <c r="J258" s="20"/>
      <c r="K258" s="32"/>
      <c r="L258" s="2"/>
    </row>
    <row r="259" spans="1:12" x14ac:dyDescent="0.25">
      <c r="A259" s="58">
        <v>46033</v>
      </c>
      <c r="B259" s="18">
        <v>0.29166666666666669</v>
      </c>
      <c r="C259" s="20"/>
      <c r="D259" s="20"/>
      <c r="E259" s="20"/>
      <c r="F259" s="20"/>
      <c r="G259" s="20"/>
      <c r="H259" s="20"/>
      <c r="I259" s="20"/>
      <c r="J259" s="20"/>
      <c r="K259" s="32"/>
      <c r="L259" s="2"/>
    </row>
    <row r="260" spans="1:12" x14ac:dyDescent="0.25">
      <c r="A260" s="58">
        <v>46033</v>
      </c>
      <c r="B260" s="18">
        <v>0.33333333333333331</v>
      </c>
      <c r="C260" s="20"/>
      <c r="D260" s="20"/>
      <c r="E260" s="20"/>
      <c r="F260" s="20"/>
      <c r="G260" s="20"/>
      <c r="H260" s="20"/>
      <c r="I260" s="20"/>
      <c r="J260" s="20"/>
      <c r="K260" s="32"/>
      <c r="L260" s="2"/>
    </row>
    <row r="261" spans="1:12" x14ac:dyDescent="0.25">
      <c r="A261" s="58">
        <v>46033</v>
      </c>
      <c r="B261" s="18">
        <v>0.375</v>
      </c>
      <c r="C261" s="20"/>
      <c r="D261" s="20"/>
      <c r="E261" s="20"/>
      <c r="F261" s="20"/>
      <c r="G261" s="20"/>
      <c r="H261" s="20"/>
      <c r="I261" s="20"/>
      <c r="J261" s="20"/>
      <c r="K261" s="32"/>
      <c r="L261" s="2"/>
    </row>
    <row r="262" spans="1:12" x14ac:dyDescent="0.25">
      <c r="A262" s="58">
        <v>46033</v>
      </c>
      <c r="B262" s="18">
        <v>0.41666666666666669</v>
      </c>
      <c r="C262" s="20"/>
      <c r="D262" s="20"/>
      <c r="E262" s="20"/>
      <c r="F262" s="20"/>
      <c r="G262" s="20"/>
      <c r="H262" s="20"/>
      <c r="I262" s="20"/>
      <c r="J262" s="20"/>
      <c r="K262" s="32"/>
      <c r="L262" s="2"/>
    </row>
    <row r="263" spans="1:12" x14ac:dyDescent="0.25">
      <c r="A263" s="58">
        <v>46033</v>
      </c>
      <c r="B263" s="18">
        <v>0.45833333333333331</v>
      </c>
      <c r="C263" s="20"/>
      <c r="D263" s="20"/>
      <c r="E263" s="20"/>
      <c r="F263" s="20"/>
      <c r="G263" s="20"/>
      <c r="H263" s="20"/>
      <c r="I263" s="20"/>
      <c r="J263" s="20"/>
      <c r="K263" s="32"/>
      <c r="L263" s="2"/>
    </row>
    <row r="264" spans="1:12" x14ac:dyDescent="0.25">
      <c r="A264" s="58">
        <v>46033</v>
      </c>
      <c r="B264" s="18">
        <v>0.5</v>
      </c>
      <c r="C264" s="20"/>
      <c r="D264" s="20"/>
      <c r="E264" s="20"/>
      <c r="F264" s="20"/>
      <c r="G264" s="20"/>
      <c r="H264" s="20"/>
      <c r="I264" s="20"/>
      <c r="J264" s="20"/>
      <c r="K264" s="32"/>
      <c r="L264" s="2"/>
    </row>
    <row r="265" spans="1:12" x14ac:dyDescent="0.25">
      <c r="A265" s="58">
        <v>46033</v>
      </c>
      <c r="B265" s="18">
        <v>0.54166666666666663</v>
      </c>
      <c r="C265" s="20"/>
      <c r="D265" s="20"/>
      <c r="E265" s="20"/>
      <c r="F265" s="20"/>
      <c r="G265" s="20"/>
      <c r="H265" s="20"/>
      <c r="I265" s="20"/>
      <c r="J265" s="20"/>
      <c r="K265" s="32"/>
      <c r="L265" s="2"/>
    </row>
    <row r="266" spans="1:12" x14ac:dyDescent="0.25">
      <c r="A266" s="58">
        <v>46033</v>
      </c>
      <c r="B266" s="18">
        <v>0.58333333333333337</v>
      </c>
      <c r="C266" s="20"/>
      <c r="D266" s="20"/>
      <c r="E266" s="20"/>
      <c r="F266" s="20"/>
      <c r="G266" s="20"/>
      <c r="H266" s="20"/>
      <c r="I266" s="20"/>
      <c r="J266" s="20"/>
      <c r="K266" s="32"/>
      <c r="L266" s="2"/>
    </row>
    <row r="267" spans="1:12" x14ac:dyDescent="0.25">
      <c r="A267" s="58">
        <v>46033</v>
      </c>
      <c r="B267" s="18">
        <v>0.625</v>
      </c>
      <c r="C267" s="20"/>
      <c r="D267" s="20"/>
      <c r="E267" s="20"/>
      <c r="F267" s="20"/>
      <c r="G267" s="20"/>
      <c r="H267" s="20"/>
      <c r="I267" s="20"/>
      <c r="J267" s="20"/>
      <c r="K267" s="32"/>
      <c r="L267" s="2"/>
    </row>
    <row r="268" spans="1:12" x14ac:dyDescent="0.25">
      <c r="A268" s="58">
        <v>46033</v>
      </c>
      <c r="B268" s="18">
        <v>0.66666666666666663</v>
      </c>
      <c r="C268" s="20"/>
      <c r="D268" s="20"/>
      <c r="E268" s="20"/>
      <c r="F268" s="20"/>
      <c r="G268" s="20"/>
      <c r="H268" s="20"/>
      <c r="I268" s="20"/>
      <c r="J268" s="20"/>
      <c r="K268" s="32"/>
      <c r="L268" s="2"/>
    </row>
    <row r="269" spans="1:12" x14ac:dyDescent="0.25">
      <c r="A269" s="58">
        <v>46033</v>
      </c>
      <c r="B269" s="18">
        <v>0.70833333333333337</v>
      </c>
      <c r="C269" s="20"/>
      <c r="D269" s="20"/>
      <c r="E269" s="20"/>
      <c r="F269" s="20"/>
      <c r="G269" s="20"/>
      <c r="H269" s="20"/>
      <c r="I269" s="20"/>
      <c r="J269" s="20"/>
      <c r="K269" s="32"/>
      <c r="L269" s="2"/>
    </row>
    <row r="270" spans="1:12" x14ac:dyDescent="0.25">
      <c r="A270" s="58">
        <v>46033</v>
      </c>
      <c r="B270" s="18">
        <v>0.75</v>
      </c>
      <c r="C270" s="20"/>
      <c r="D270" s="20"/>
      <c r="E270" s="20"/>
      <c r="F270" s="20"/>
      <c r="G270" s="20"/>
      <c r="H270" s="20"/>
      <c r="I270" s="20"/>
      <c r="J270" s="20"/>
      <c r="K270" s="32"/>
      <c r="L270" s="2"/>
    </row>
    <row r="271" spans="1:12" x14ac:dyDescent="0.25">
      <c r="A271" s="58">
        <v>46033</v>
      </c>
      <c r="B271" s="18">
        <v>0.79166666666666663</v>
      </c>
      <c r="C271" s="20"/>
      <c r="D271" s="20"/>
      <c r="E271" s="20"/>
      <c r="F271" s="20"/>
      <c r="G271" s="20"/>
      <c r="H271" s="20"/>
      <c r="I271" s="20"/>
      <c r="J271" s="20"/>
      <c r="K271" s="32"/>
      <c r="L271" s="2"/>
    </row>
    <row r="272" spans="1:12" x14ac:dyDescent="0.25">
      <c r="A272" s="58">
        <v>46033</v>
      </c>
      <c r="B272" s="18">
        <v>0.83333333333333337</v>
      </c>
      <c r="C272" s="20"/>
      <c r="D272" s="20"/>
      <c r="E272" s="20"/>
      <c r="F272" s="20"/>
      <c r="G272" s="20"/>
      <c r="H272" s="20"/>
      <c r="I272" s="20"/>
      <c r="J272" s="20"/>
      <c r="K272" s="32"/>
      <c r="L272" s="2"/>
    </row>
    <row r="273" spans="1:12" x14ac:dyDescent="0.25">
      <c r="A273" s="58">
        <v>46033</v>
      </c>
      <c r="B273" s="18">
        <v>0.875</v>
      </c>
      <c r="C273" s="20"/>
      <c r="D273" s="20"/>
      <c r="E273" s="20"/>
      <c r="F273" s="20"/>
      <c r="G273" s="20"/>
      <c r="H273" s="20"/>
      <c r="I273" s="20"/>
      <c r="J273" s="20"/>
      <c r="K273" s="32"/>
      <c r="L273" s="2"/>
    </row>
    <row r="274" spans="1:12" x14ac:dyDescent="0.25">
      <c r="A274" s="58">
        <v>46033</v>
      </c>
      <c r="B274" s="18">
        <v>0.91666666666666663</v>
      </c>
      <c r="C274" s="20"/>
      <c r="D274" s="20"/>
      <c r="E274" s="20"/>
      <c r="F274" s="20"/>
      <c r="G274" s="20"/>
      <c r="H274" s="20"/>
      <c r="I274" s="20"/>
      <c r="J274" s="20"/>
      <c r="K274" s="32"/>
      <c r="L274" s="2"/>
    </row>
    <row r="275" spans="1:12" ht="15.75" thickBot="1" x14ac:dyDescent="0.3">
      <c r="A275" s="60">
        <v>46033</v>
      </c>
      <c r="B275" s="35">
        <v>0.95833333333333337</v>
      </c>
      <c r="C275" s="24"/>
      <c r="D275" s="24"/>
      <c r="E275" s="24"/>
      <c r="F275" s="24"/>
      <c r="G275" s="24"/>
      <c r="H275" s="24"/>
      <c r="I275" s="24"/>
      <c r="J275" s="24"/>
      <c r="K275" s="36"/>
      <c r="L275" s="2"/>
    </row>
    <row r="276" spans="1:12" ht="15.75" thickBot="1" x14ac:dyDescent="0.3">
      <c r="A276" s="26" t="s">
        <v>22</v>
      </c>
      <c r="B276" s="44"/>
      <c r="C276" s="45" t="str">
        <f t="shared" ref="C276:K276" si="10">IFERROR(ROUND(AVERAGE(C252:C275), 2), "")</f>
        <v/>
      </c>
      <c r="D276" s="45" t="str">
        <f t="shared" si="10"/>
        <v/>
      </c>
      <c r="E276" s="45" t="str">
        <f t="shared" si="10"/>
        <v/>
      </c>
      <c r="F276" s="45" t="str">
        <f t="shared" si="10"/>
        <v/>
      </c>
      <c r="G276" s="45" t="str">
        <f t="shared" si="10"/>
        <v/>
      </c>
      <c r="H276" s="45" t="str">
        <f t="shared" si="10"/>
        <v/>
      </c>
      <c r="I276" s="45" t="str">
        <f t="shared" si="10"/>
        <v/>
      </c>
      <c r="J276" s="45" t="str">
        <f t="shared" si="10"/>
        <v/>
      </c>
      <c r="K276" s="46" t="str">
        <f t="shared" si="10"/>
        <v/>
      </c>
      <c r="L276" s="7"/>
    </row>
    <row r="277" spans="1:12" x14ac:dyDescent="0.25">
      <c r="A277" s="57">
        <v>46034</v>
      </c>
      <c r="B277" s="14">
        <v>0</v>
      </c>
      <c r="C277" s="15"/>
      <c r="D277" s="16"/>
      <c r="E277" s="15"/>
      <c r="F277" s="15"/>
      <c r="G277" s="16"/>
      <c r="H277" s="16"/>
      <c r="I277" s="16"/>
      <c r="J277" s="16"/>
      <c r="K277" s="31"/>
      <c r="L277" s="2"/>
    </row>
    <row r="278" spans="1:12" x14ac:dyDescent="0.25">
      <c r="A278" s="58">
        <v>46034</v>
      </c>
      <c r="B278" s="18">
        <v>4.1666666666666664E-2</v>
      </c>
      <c r="C278" s="19"/>
      <c r="D278" s="20"/>
      <c r="E278" s="19"/>
      <c r="F278" s="19"/>
      <c r="G278" s="20"/>
      <c r="H278" s="20"/>
      <c r="I278" s="20"/>
      <c r="J278" s="20"/>
      <c r="K278" s="32"/>
      <c r="L278" s="2"/>
    </row>
    <row r="279" spans="1:12" x14ac:dyDescent="0.25">
      <c r="A279" s="58">
        <v>46034</v>
      </c>
      <c r="B279" s="18">
        <v>8.3333333333333329E-2</v>
      </c>
      <c r="C279" s="19"/>
      <c r="D279" s="20"/>
      <c r="E279" s="19"/>
      <c r="F279" s="19"/>
      <c r="G279" s="20"/>
      <c r="H279" s="20"/>
      <c r="I279" s="20"/>
      <c r="J279" s="20"/>
      <c r="K279" s="32"/>
      <c r="L279" s="2"/>
    </row>
    <row r="280" spans="1:12" x14ac:dyDescent="0.25">
      <c r="A280" s="58">
        <v>46034</v>
      </c>
      <c r="B280" s="18">
        <v>0.125</v>
      </c>
      <c r="C280" s="19"/>
      <c r="D280" s="20"/>
      <c r="E280" s="19"/>
      <c r="F280" s="19"/>
      <c r="G280" s="20"/>
      <c r="H280" s="20"/>
      <c r="I280" s="20"/>
      <c r="J280" s="20"/>
      <c r="K280" s="32"/>
      <c r="L280" s="2"/>
    </row>
    <row r="281" spans="1:12" x14ac:dyDescent="0.25">
      <c r="A281" s="58">
        <v>46034</v>
      </c>
      <c r="B281" s="18">
        <v>0.16666666666666666</v>
      </c>
      <c r="C281" s="19"/>
      <c r="D281" s="20"/>
      <c r="E281" s="19"/>
      <c r="F281" s="19"/>
      <c r="G281" s="20"/>
      <c r="H281" s="20"/>
      <c r="I281" s="20"/>
      <c r="J281" s="20"/>
      <c r="K281" s="32"/>
      <c r="L281" s="2"/>
    </row>
    <row r="282" spans="1:12" x14ac:dyDescent="0.25">
      <c r="A282" s="58">
        <v>46034</v>
      </c>
      <c r="B282" s="18">
        <v>0.20833333333333334</v>
      </c>
      <c r="C282" s="19"/>
      <c r="D282" s="20"/>
      <c r="E282" s="19"/>
      <c r="F282" s="19"/>
      <c r="G282" s="20"/>
      <c r="H282" s="20"/>
      <c r="I282" s="20"/>
      <c r="J282" s="20"/>
      <c r="K282" s="32"/>
      <c r="L282" s="2"/>
    </row>
    <row r="283" spans="1:12" x14ac:dyDescent="0.25">
      <c r="A283" s="58">
        <v>46034</v>
      </c>
      <c r="B283" s="18">
        <v>0.25</v>
      </c>
      <c r="C283" s="19"/>
      <c r="D283" s="20"/>
      <c r="E283" s="19"/>
      <c r="F283" s="19"/>
      <c r="G283" s="20"/>
      <c r="H283" s="20"/>
      <c r="I283" s="20"/>
      <c r="J283" s="20"/>
      <c r="K283" s="32"/>
      <c r="L283" s="2"/>
    </row>
    <row r="284" spans="1:12" x14ac:dyDescent="0.25">
      <c r="A284" s="58">
        <v>46034</v>
      </c>
      <c r="B284" s="18">
        <v>0.29166666666666669</v>
      </c>
      <c r="C284" s="19"/>
      <c r="D284" s="20"/>
      <c r="E284" s="19"/>
      <c r="F284" s="19"/>
      <c r="G284" s="20"/>
      <c r="H284" s="20"/>
      <c r="I284" s="20"/>
      <c r="J284" s="20"/>
      <c r="K284" s="32"/>
      <c r="L284" s="2"/>
    </row>
    <row r="285" spans="1:12" x14ac:dyDescent="0.25">
      <c r="A285" s="58">
        <v>46034</v>
      </c>
      <c r="B285" s="18">
        <v>0.33333333333333331</v>
      </c>
      <c r="C285" s="19"/>
      <c r="D285" s="20"/>
      <c r="E285" s="19"/>
      <c r="F285" s="19"/>
      <c r="G285" s="20"/>
      <c r="H285" s="20"/>
      <c r="I285" s="20"/>
      <c r="J285" s="20"/>
      <c r="K285" s="32"/>
      <c r="L285" s="2"/>
    </row>
    <row r="286" spans="1:12" x14ac:dyDescent="0.25">
      <c r="A286" s="58">
        <v>46034</v>
      </c>
      <c r="B286" s="18">
        <v>0.375</v>
      </c>
      <c r="C286" s="19"/>
      <c r="D286" s="20"/>
      <c r="E286" s="19"/>
      <c r="F286" s="19"/>
      <c r="G286" s="20"/>
      <c r="H286" s="20"/>
      <c r="I286" s="20"/>
      <c r="J286" s="20"/>
      <c r="K286" s="32"/>
      <c r="L286" s="2"/>
    </row>
    <row r="287" spans="1:12" x14ac:dyDescent="0.25">
      <c r="A287" s="58">
        <v>46034</v>
      </c>
      <c r="B287" s="18">
        <v>0.41666666666666669</v>
      </c>
      <c r="C287" s="19"/>
      <c r="D287" s="20"/>
      <c r="E287" s="19"/>
      <c r="F287" s="19"/>
      <c r="G287" s="20"/>
      <c r="H287" s="20"/>
      <c r="I287" s="20"/>
      <c r="J287" s="20"/>
      <c r="K287" s="32"/>
      <c r="L287" s="2"/>
    </row>
    <row r="288" spans="1:12" x14ac:dyDescent="0.25">
      <c r="A288" s="58">
        <v>46034</v>
      </c>
      <c r="B288" s="18">
        <v>0.45833333333333331</v>
      </c>
      <c r="C288" s="19"/>
      <c r="D288" s="20"/>
      <c r="E288" s="19"/>
      <c r="F288" s="19"/>
      <c r="G288" s="20"/>
      <c r="H288" s="20"/>
      <c r="I288" s="20"/>
      <c r="J288" s="20"/>
      <c r="K288" s="32"/>
      <c r="L288" s="2"/>
    </row>
    <row r="289" spans="1:12" x14ac:dyDescent="0.25">
      <c r="A289" s="58">
        <v>46034</v>
      </c>
      <c r="B289" s="18">
        <v>0.5</v>
      </c>
      <c r="C289" s="19"/>
      <c r="D289" s="20"/>
      <c r="E289" s="19"/>
      <c r="F289" s="19"/>
      <c r="G289" s="20"/>
      <c r="H289" s="20"/>
      <c r="I289" s="20"/>
      <c r="J289" s="20"/>
      <c r="K289" s="32"/>
      <c r="L289" s="2"/>
    </row>
    <row r="290" spans="1:12" x14ac:dyDescent="0.25">
      <c r="A290" s="58">
        <v>46034</v>
      </c>
      <c r="B290" s="18">
        <v>0.54166666666666663</v>
      </c>
      <c r="C290" s="19"/>
      <c r="D290" s="20"/>
      <c r="E290" s="19"/>
      <c r="F290" s="19"/>
      <c r="G290" s="20"/>
      <c r="H290" s="20"/>
      <c r="I290" s="20"/>
      <c r="J290" s="20"/>
      <c r="K290" s="32"/>
      <c r="L290" s="2"/>
    </row>
    <row r="291" spans="1:12" x14ac:dyDescent="0.25">
      <c r="A291" s="58">
        <v>46034</v>
      </c>
      <c r="B291" s="18">
        <v>0.58333333333333337</v>
      </c>
      <c r="C291" s="19"/>
      <c r="D291" s="20"/>
      <c r="E291" s="19"/>
      <c r="F291" s="19"/>
      <c r="G291" s="20"/>
      <c r="H291" s="20"/>
      <c r="I291" s="20"/>
      <c r="J291" s="20"/>
      <c r="K291" s="32"/>
      <c r="L291" s="2"/>
    </row>
    <row r="292" spans="1:12" x14ac:dyDescent="0.25">
      <c r="A292" s="58">
        <v>46034</v>
      </c>
      <c r="B292" s="18">
        <v>0.625</v>
      </c>
      <c r="C292" s="19"/>
      <c r="D292" s="20"/>
      <c r="E292" s="19"/>
      <c r="F292" s="19"/>
      <c r="G292" s="20"/>
      <c r="H292" s="20"/>
      <c r="I292" s="20"/>
      <c r="J292" s="20"/>
      <c r="K292" s="32"/>
      <c r="L292" s="2"/>
    </row>
    <row r="293" spans="1:12" x14ac:dyDescent="0.25">
      <c r="A293" s="58">
        <v>46034</v>
      </c>
      <c r="B293" s="18">
        <v>0.66666666666666663</v>
      </c>
      <c r="C293" s="19"/>
      <c r="D293" s="20"/>
      <c r="E293" s="19"/>
      <c r="F293" s="19"/>
      <c r="G293" s="20"/>
      <c r="H293" s="20"/>
      <c r="I293" s="20"/>
      <c r="J293" s="20"/>
      <c r="K293" s="32"/>
      <c r="L293" s="2"/>
    </row>
    <row r="294" spans="1:12" x14ac:dyDescent="0.25">
      <c r="A294" s="58">
        <v>46034</v>
      </c>
      <c r="B294" s="18">
        <v>0.70833333333333337</v>
      </c>
      <c r="C294" s="19"/>
      <c r="D294" s="20"/>
      <c r="E294" s="19"/>
      <c r="F294" s="19"/>
      <c r="G294" s="20"/>
      <c r="H294" s="20"/>
      <c r="I294" s="20"/>
      <c r="J294" s="20"/>
      <c r="K294" s="32"/>
      <c r="L294" s="2"/>
    </row>
    <row r="295" spans="1:12" x14ac:dyDescent="0.25">
      <c r="A295" s="58">
        <v>46034</v>
      </c>
      <c r="B295" s="18">
        <v>0.75</v>
      </c>
      <c r="C295" s="19"/>
      <c r="D295" s="20"/>
      <c r="E295" s="19"/>
      <c r="F295" s="19"/>
      <c r="G295" s="20"/>
      <c r="H295" s="20"/>
      <c r="I295" s="20"/>
      <c r="J295" s="20"/>
      <c r="K295" s="32"/>
      <c r="L295" s="2"/>
    </row>
    <row r="296" spans="1:12" x14ac:dyDescent="0.25">
      <c r="A296" s="58">
        <v>46034</v>
      </c>
      <c r="B296" s="18">
        <v>0.79166666666666663</v>
      </c>
      <c r="C296" s="19"/>
      <c r="D296" s="20"/>
      <c r="E296" s="19"/>
      <c r="F296" s="19"/>
      <c r="G296" s="20"/>
      <c r="H296" s="20"/>
      <c r="I296" s="20"/>
      <c r="J296" s="20"/>
      <c r="K296" s="32"/>
      <c r="L296" s="2"/>
    </row>
    <row r="297" spans="1:12" x14ac:dyDescent="0.25">
      <c r="A297" s="58">
        <v>46034</v>
      </c>
      <c r="B297" s="18">
        <v>0.83333333333333337</v>
      </c>
      <c r="C297" s="19"/>
      <c r="D297" s="20"/>
      <c r="E297" s="19"/>
      <c r="F297" s="19"/>
      <c r="G297" s="20"/>
      <c r="H297" s="20"/>
      <c r="I297" s="20"/>
      <c r="J297" s="20"/>
      <c r="K297" s="32"/>
      <c r="L297" s="2"/>
    </row>
    <row r="298" spans="1:12" x14ac:dyDescent="0.25">
      <c r="A298" s="58">
        <v>46034</v>
      </c>
      <c r="B298" s="18">
        <v>0.875</v>
      </c>
      <c r="C298" s="19"/>
      <c r="D298" s="20"/>
      <c r="E298" s="19"/>
      <c r="F298" s="19"/>
      <c r="G298" s="20"/>
      <c r="H298" s="20"/>
      <c r="I298" s="20"/>
      <c r="J298" s="20"/>
      <c r="K298" s="32"/>
      <c r="L298" s="2"/>
    </row>
    <row r="299" spans="1:12" x14ac:dyDescent="0.25">
      <c r="A299" s="58">
        <v>46034</v>
      </c>
      <c r="B299" s="18">
        <v>0.91666666666666663</v>
      </c>
      <c r="C299" s="19"/>
      <c r="D299" s="20"/>
      <c r="E299" s="19"/>
      <c r="F299" s="19"/>
      <c r="G299" s="20"/>
      <c r="H299" s="20"/>
      <c r="I299" s="20"/>
      <c r="J299" s="20"/>
      <c r="K299" s="32"/>
      <c r="L299" s="2"/>
    </row>
    <row r="300" spans="1:12" ht="15.75" thickBot="1" x14ac:dyDescent="0.3">
      <c r="A300" s="60">
        <v>46034</v>
      </c>
      <c r="B300" s="35">
        <v>0.95833333333333337</v>
      </c>
      <c r="C300" s="23"/>
      <c r="D300" s="24"/>
      <c r="E300" s="23"/>
      <c r="F300" s="23"/>
      <c r="G300" s="24"/>
      <c r="H300" s="24"/>
      <c r="I300" s="24"/>
      <c r="J300" s="24"/>
      <c r="K300" s="36"/>
      <c r="L300" s="2"/>
    </row>
    <row r="301" spans="1:12" ht="15.75" thickBot="1" x14ac:dyDescent="0.3">
      <c r="A301" s="26" t="s">
        <v>23</v>
      </c>
      <c r="B301" s="44"/>
      <c r="C301" s="45" t="str">
        <f t="shared" ref="C301:K301" si="11">IFERROR(ROUND(AVERAGE(C277:C300), 2), "")</f>
        <v/>
      </c>
      <c r="D301" s="45" t="str">
        <f t="shared" si="11"/>
        <v/>
      </c>
      <c r="E301" s="45" t="str">
        <f t="shared" si="11"/>
        <v/>
      </c>
      <c r="F301" s="45" t="str">
        <f t="shared" si="11"/>
        <v/>
      </c>
      <c r="G301" s="45" t="str">
        <f t="shared" si="11"/>
        <v/>
      </c>
      <c r="H301" s="45" t="str">
        <f t="shared" si="11"/>
        <v/>
      </c>
      <c r="I301" s="45" t="str">
        <f t="shared" si="11"/>
        <v/>
      </c>
      <c r="J301" s="45" t="str">
        <f t="shared" si="11"/>
        <v/>
      </c>
      <c r="K301" s="46" t="str">
        <f t="shared" si="11"/>
        <v/>
      </c>
      <c r="L301" s="7"/>
    </row>
    <row r="302" spans="1:12" x14ac:dyDescent="0.25">
      <c r="A302" s="57">
        <v>46035</v>
      </c>
      <c r="B302" s="14">
        <v>0</v>
      </c>
      <c r="C302" s="16"/>
      <c r="D302" s="16"/>
      <c r="E302" s="16"/>
      <c r="F302" s="16"/>
      <c r="G302" s="16"/>
      <c r="H302" s="16"/>
      <c r="I302" s="16"/>
      <c r="J302" s="16"/>
      <c r="K302" s="31"/>
      <c r="L302" s="2"/>
    </row>
    <row r="303" spans="1:12" x14ac:dyDescent="0.25">
      <c r="A303" s="58">
        <v>46035</v>
      </c>
      <c r="B303" s="18">
        <v>4.1666666666666664E-2</v>
      </c>
      <c r="C303" s="20"/>
      <c r="D303" s="20"/>
      <c r="E303" s="20"/>
      <c r="F303" s="20"/>
      <c r="G303" s="20"/>
      <c r="H303" s="20"/>
      <c r="I303" s="20"/>
      <c r="J303" s="20"/>
      <c r="K303" s="32"/>
      <c r="L303" s="2"/>
    </row>
    <row r="304" spans="1:12" x14ac:dyDescent="0.25">
      <c r="A304" s="58">
        <v>46035</v>
      </c>
      <c r="B304" s="18">
        <v>8.3333333333333329E-2</v>
      </c>
      <c r="C304" s="20"/>
      <c r="D304" s="20"/>
      <c r="E304" s="20"/>
      <c r="F304" s="20"/>
      <c r="G304" s="20"/>
      <c r="H304" s="20"/>
      <c r="I304" s="20"/>
      <c r="J304" s="20"/>
      <c r="K304" s="32"/>
      <c r="L304" s="2"/>
    </row>
    <row r="305" spans="1:12" x14ac:dyDescent="0.25">
      <c r="A305" s="58">
        <v>46035</v>
      </c>
      <c r="B305" s="18">
        <v>0.125</v>
      </c>
      <c r="C305" s="20"/>
      <c r="D305" s="20"/>
      <c r="E305" s="20"/>
      <c r="F305" s="20"/>
      <c r="G305" s="20"/>
      <c r="H305" s="20"/>
      <c r="I305" s="20"/>
      <c r="J305" s="20"/>
      <c r="K305" s="32"/>
      <c r="L305" s="2"/>
    </row>
    <row r="306" spans="1:12" x14ac:dyDescent="0.25">
      <c r="A306" s="58">
        <v>46035</v>
      </c>
      <c r="B306" s="18">
        <v>0.16666666666666666</v>
      </c>
      <c r="C306" s="20"/>
      <c r="D306" s="20"/>
      <c r="E306" s="20"/>
      <c r="F306" s="20"/>
      <c r="G306" s="20"/>
      <c r="H306" s="20"/>
      <c r="I306" s="20"/>
      <c r="J306" s="20"/>
      <c r="K306" s="32"/>
      <c r="L306" s="2"/>
    </row>
    <row r="307" spans="1:12" x14ac:dyDescent="0.25">
      <c r="A307" s="58">
        <v>46035</v>
      </c>
      <c r="B307" s="18">
        <v>0.20833333333333334</v>
      </c>
      <c r="C307" s="20"/>
      <c r="D307" s="20"/>
      <c r="E307" s="20"/>
      <c r="F307" s="20"/>
      <c r="G307" s="20"/>
      <c r="H307" s="20"/>
      <c r="I307" s="20"/>
      <c r="J307" s="20"/>
      <c r="K307" s="32"/>
      <c r="L307" s="2"/>
    </row>
    <row r="308" spans="1:12" x14ac:dyDescent="0.25">
      <c r="A308" s="58">
        <v>46035</v>
      </c>
      <c r="B308" s="18">
        <v>0.25</v>
      </c>
      <c r="C308" s="20"/>
      <c r="D308" s="20"/>
      <c r="E308" s="20"/>
      <c r="F308" s="20"/>
      <c r="G308" s="20"/>
      <c r="H308" s="20"/>
      <c r="I308" s="20"/>
      <c r="J308" s="20"/>
      <c r="K308" s="32"/>
      <c r="L308" s="2"/>
    </row>
    <row r="309" spans="1:12" x14ac:dyDescent="0.25">
      <c r="A309" s="58">
        <v>46035</v>
      </c>
      <c r="B309" s="18">
        <v>0.29166666666666669</v>
      </c>
      <c r="C309" s="20"/>
      <c r="D309" s="20"/>
      <c r="E309" s="20"/>
      <c r="F309" s="20"/>
      <c r="G309" s="20"/>
      <c r="H309" s="20"/>
      <c r="I309" s="20"/>
      <c r="J309" s="20"/>
      <c r="K309" s="32"/>
      <c r="L309" s="2"/>
    </row>
    <row r="310" spans="1:12" x14ac:dyDescent="0.25">
      <c r="A310" s="58">
        <v>46035</v>
      </c>
      <c r="B310" s="18">
        <v>0.33333333333333331</v>
      </c>
      <c r="C310" s="20"/>
      <c r="D310" s="20"/>
      <c r="E310" s="20"/>
      <c r="F310" s="20"/>
      <c r="G310" s="20"/>
      <c r="H310" s="20"/>
      <c r="I310" s="20"/>
      <c r="J310" s="20"/>
      <c r="K310" s="32"/>
      <c r="L310" s="2"/>
    </row>
    <row r="311" spans="1:12" x14ac:dyDescent="0.25">
      <c r="A311" s="58">
        <v>46035</v>
      </c>
      <c r="B311" s="18">
        <v>0.375</v>
      </c>
      <c r="C311" s="20"/>
      <c r="D311" s="20"/>
      <c r="E311" s="20"/>
      <c r="F311" s="20"/>
      <c r="G311" s="20"/>
      <c r="H311" s="20"/>
      <c r="I311" s="20"/>
      <c r="J311" s="20"/>
      <c r="K311" s="32"/>
      <c r="L311" s="2"/>
    </row>
    <row r="312" spans="1:12" x14ac:dyDescent="0.25">
      <c r="A312" s="58">
        <v>46035</v>
      </c>
      <c r="B312" s="18">
        <v>0.41666666666666669</v>
      </c>
      <c r="C312" s="20"/>
      <c r="D312" s="20"/>
      <c r="E312" s="20"/>
      <c r="F312" s="20"/>
      <c r="G312" s="20"/>
      <c r="H312" s="20"/>
      <c r="I312" s="20"/>
      <c r="J312" s="20"/>
      <c r="K312" s="32"/>
      <c r="L312" s="2"/>
    </row>
    <row r="313" spans="1:12" x14ac:dyDescent="0.25">
      <c r="A313" s="58">
        <v>46035</v>
      </c>
      <c r="B313" s="18">
        <v>0.45833333333333331</v>
      </c>
      <c r="C313" s="20"/>
      <c r="D313" s="20"/>
      <c r="E313" s="20"/>
      <c r="F313" s="20"/>
      <c r="G313" s="20"/>
      <c r="H313" s="20"/>
      <c r="I313" s="20"/>
      <c r="J313" s="20"/>
      <c r="K313" s="32"/>
      <c r="L313" s="2"/>
    </row>
    <row r="314" spans="1:12" x14ac:dyDescent="0.25">
      <c r="A314" s="58">
        <v>46035</v>
      </c>
      <c r="B314" s="18">
        <v>0.5</v>
      </c>
      <c r="C314" s="20"/>
      <c r="D314" s="20"/>
      <c r="E314" s="20"/>
      <c r="F314" s="20"/>
      <c r="G314" s="20"/>
      <c r="H314" s="20"/>
      <c r="I314" s="20"/>
      <c r="J314" s="20"/>
      <c r="K314" s="32"/>
      <c r="L314" s="2"/>
    </row>
    <row r="315" spans="1:12" x14ac:dyDescent="0.25">
      <c r="A315" s="58">
        <v>46035</v>
      </c>
      <c r="B315" s="18">
        <v>0.54166666666666663</v>
      </c>
      <c r="C315" s="20"/>
      <c r="D315" s="20"/>
      <c r="E315" s="20"/>
      <c r="F315" s="20"/>
      <c r="G315" s="20"/>
      <c r="H315" s="20"/>
      <c r="I315" s="20"/>
      <c r="J315" s="20"/>
      <c r="K315" s="32"/>
      <c r="L315" s="2"/>
    </row>
    <row r="316" spans="1:12" x14ac:dyDescent="0.25">
      <c r="A316" s="58">
        <v>46035</v>
      </c>
      <c r="B316" s="18">
        <v>0.58333333333333337</v>
      </c>
      <c r="C316" s="20"/>
      <c r="D316" s="20"/>
      <c r="E316" s="20"/>
      <c r="F316" s="20"/>
      <c r="G316" s="20"/>
      <c r="H316" s="20"/>
      <c r="I316" s="20"/>
      <c r="J316" s="20"/>
      <c r="K316" s="32"/>
      <c r="L316" s="2"/>
    </row>
    <row r="317" spans="1:12" x14ac:dyDescent="0.25">
      <c r="A317" s="58">
        <v>46035</v>
      </c>
      <c r="B317" s="18">
        <v>0.625</v>
      </c>
      <c r="C317" s="20"/>
      <c r="D317" s="20"/>
      <c r="E317" s="20"/>
      <c r="F317" s="20"/>
      <c r="G317" s="20"/>
      <c r="H317" s="20"/>
      <c r="I317" s="20"/>
      <c r="J317" s="20"/>
      <c r="K317" s="32"/>
      <c r="L317" s="2"/>
    </row>
    <row r="318" spans="1:12" x14ac:dyDescent="0.25">
      <c r="A318" s="58">
        <v>46035</v>
      </c>
      <c r="B318" s="18">
        <v>0.66666666666666663</v>
      </c>
      <c r="C318" s="20"/>
      <c r="D318" s="20"/>
      <c r="E318" s="20"/>
      <c r="F318" s="20"/>
      <c r="G318" s="20"/>
      <c r="H318" s="20"/>
      <c r="I318" s="20"/>
      <c r="J318" s="20"/>
      <c r="K318" s="32"/>
      <c r="L318" s="2"/>
    </row>
    <row r="319" spans="1:12" x14ac:dyDescent="0.25">
      <c r="A319" s="58">
        <v>46035</v>
      </c>
      <c r="B319" s="18">
        <v>0.70833333333333337</v>
      </c>
      <c r="C319" s="20"/>
      <c r="D319" s="20"/>
      <c r="E319" s="20"/>
      <c r="F319" s="20"/>
      <c r="G319" s="20"/>
      <c r="H319" s="20"/>
      <c r="I319" s="20"/>
      <c r="J319" s="20"/>
      <c r="K319" s="32"/>
      <c r="L319" s="2"/>
    </row>
    <row r="320" spans="1:12" x14ac:dyDescent="0.25">
      <c r="A320" s="58">
        <v>46035</v>
      </c>
      <c r="B320" s="18">
        <v>0.75</v>
      </c>
      <c r="C320" s="19"/>
      <c r="D320" s="19"/>
      <c r="E320" s="19"/>
      <c r="F320" s="19"/>
      <c r="G320" s="20"/>
      <c r="H320" s="20"/>
      <c r="I320" s="20"/>
      <c r="J320" s="20"/>
      <c r="K320" s="32"/>
      <c r="L320" s="2"/>
    </row>
    <row r="321" spans="1:12" x14ac:dyDescent="0.25">
      <c r="A321" s="58">
        <v>46035</v>
      </c>
      <c r="B321" s="18">
        <v>0.79166666666666663</v>
      </c>
      <c r="C321" s="19"/>
      <c r="D321" s="19"/>
      <c r="E321" s="19"/>
      <c r="F321" s="19"/>
      <c r="G321" s="20"/>
      <c r="H321" s="20"/>
      <c r="I321" s="20"/>
      <c r="J321" s="20"/>
      <c r="K321" s="32"/>
      <c r="L321" s="2"/>
    </row>
    <row r="322" spans="1:12" x14ac:dyDescent="0.25">
      <c r="A322" s="58">
        <v>46035</v>
      </c>
      <c r="B322" s="18">
        <v>0.83333333333333337</v>
      </c>
      <c r="C322" s="19"/>
      <c r="D322" s="19"/>
      <c r="E322" s="19"/>
      <c r="F322" s="19"/>
      <c r="G322" s="20"/>
      <c r="H322" s="20"/>
      <c r="I322" s="20"/>
      <c r="J322" s="20"/>
      <c r="K322" s="32"/>
      <c r="L322" s="2"/>
    </row>
    <row r="323" spans="1:12" x14ac:dyDescent="0.25">
      <c r="A323" s="58">
        <v>46035</v>
      </c>
      <c r="B323" s="18">
        <v>0.875</v>
      </c>
      <c r="C323" s="19"/>
      <c r="D323" s="19"/>
      <c r="E323" s="19"/>
      <c r="F323" s="19"/>
      <c r="G323" s="20"/>
      <c r="H323" s="20"/>
      <c r="I323" s="20"/>
      <c r="J323" s="20"/>
      <c r="K323" s="32"/>
      <c r="L323" s="2"/>
    </row>
    <row r="324" spans="1:12" x14ac:dyDescent="0.25">
      <c r="A324" s="58">
        <v>46035</v>
      </c>
      <c r="B324" s="18">
        <v>0.91666666666666663</v>
      </c>
      <c r="C324" s="19"/>
      <c r="D324" s="19"/>
      <c r="E324" s="19"/>
      <c r="F324" s="19"/>
      <c r="G324" s="20"/>
      <c r="H324" s="20"/>
      <c r="I324" s="20"/>
      <c r="J324" s="20"/>
      <c r="K324" s="32"/>
      <c r="L324" s="2"/>
    </row>
    <row r="325" spans="1:12" ht="15.75" thickBot="1" x14ac:dyDescent="0.3">
      <c r="A325" s="60">
        <v>46035</v>
      </c>
      <c r="B325" s="35">
        <v>0.95833333333333337</v>
      </c>
      <c r="C325" s="23"/>
      <c r="D325" s="23"/>
      <c r="E325" s="23"/>
      <c r="F325" s="23"/>
      <c r="G325" s="24"/>
      <c r="H325" s="24"/>
      <c r="I325" s="24"/>
      <c r="J325" s="24"/>
      <c r="K325" s="36"/>
      <c r="L325" s="2"/>
    </row>
    <row r="326" spans="1:12" ht="15.75" thickBot="1" x14ac:dyDescent="0.3">
      <c r="A326" s="26" t="s">
        <v>24</v>
      </c>
      <c r="B326" s="44"/>
      <c r="C326" s="45" t="str">
        <f t="shared" ref="C326:K326" si="12">IFERROR(ROUND(AVERAGE(C302:C325), 2), "")</f>
        <v/>
      </c>
      <c r="D326" s="45" t="str">
        <f t="shared" si="12"/>
        <v/>
      </c>
      <c r="E326" s="45" t="str">
        <f t="shared" si="12"/>
        <v/>
      </c>
      <c r="F326" s="45" t="str">
        <f t="shared" si="12"/>
        <v/>
      </c>
      <c r="G326" s="45" t="str">
        <f t="shared" si="12"/>
        <v/>
      </c>
      <c r="H326" s="45" t="str">
        <f t="shared" si="12"/>
        <v/>
      </c>
      <c r="I326" s="45" t="str">
        <f t="shared" si="12"/>
        <v/>
      </c>
      <c r="J326" s="45" t="str">
        <f t="shared" si="12"/>
        <v/>
      </c>
      <c r="K326" s="46" t="str">
        <f t="shared" si="12"/>
        <v/>
      </c>
      <c r="L326" s="7"/>
    </row>
    <row r="327" spans="1:12" x14ac:dyDescent="0.25">
      <c r="A327" s="57">
        <v>46036</v>
      </c>
      <c r="B327" s="14">
        <v>0</v>
      </c>
      <c r="C327" s="15"/>
      <c r="D327" s="15"/>
      <c r="E327" s="15"/>
      <c r="F327" s="15"/>
      <c r="G327" s="15"/>
      <c r="H327" s="16"/>
      <c r="I327" s="16"/>
      <c r="J327" s="16"/>
      <c r="K327" s="17"/>
      <c r="L327" s="2"/>
    </row>
    <row r="328" spans="1:12" x14ac:dyDescent="0.25">
      <c r="A328" s="58">
        <v>46036</v>
      </c>
      <c r="B328" s="18">
        <v>4.1666666666666664E-2</v>
      </c>
      <c r="C328" s="19"/>
      <c r="D328" s="19"/>
      <c r="E328" s="19"/>
      <c r="F328" s="19"/>
      <c r="G328" s="19"/>
      <c r="H328" s="20"/>
      <c r="I328" s="20"/>
      <c r="J328" s="20"/>
      <c r="K328" s="21"/>
      <c r="L328" s="1"/>
    </row>
    <row r="329" spans="1:12" x14ac:dyDescent="0.25">
      <c r="A329" s="58">
        <v>46036</v>
      </c>
      <c r="B329" s="18">
        <v>8.3333333333333329E-2</v>
      </c>
      <c r="C329" s="19"/>
      <c r="D329" s="19"/>
      <c r="E329" s="19"/>
      <c r="F329" s="19"/>
      <c r="G329" s="19"/>
      <c r="H329" s="20"/>
      <c r="I329" s="20"/>
      <c r="J329" s="20"/>
      <c r="K329" s="21"/>
      <c r="L329" s="1"/>
    </row>
    <row r="330" spans="1:12" x14ac:dyDescent="0.25">
      <c r="A330" s="58">
        <v>46036</v>
      </c>
      <c r="B330" s="18">
        <v>0.125</v>
      </c>
      <c r="C330" s="19"/>
      <c r="D330" s="19"/>
      <c r="E330" s="19"/>
      <c r="F330" s="19"/>
      <c r="G330" s="19"/>
      <c r="H330" s="20"/>
      <c r="I330" s="20"/>
      <c r="J330" s="20"/>
      <c r="K330" s="21"/>
      <c r="L330" s="1"/>
    </row>
    <row r="331" spans="1:12" x14ac:dyDescent="0.25">
      <c r="A331" s="58">
        <v>46036</v>
      </c>
      <c r="B331" s="18">
        <v>0.16666666666666666</v>
      </c>
      <c r="C331" s="19"/>
      <c r="D331" s="19"/>
      <c r="E331" s="19"/>
      <c r="F331" s="19"/>
      <c r="G331" s="19"/>
      <c r="H331" s="20"/>
      <c r="I331" s="20"/>
      <c r="J331" s="20"/>
      <c r="K331" s="21"/>
      <c r="L331" s="1"/>
    </row>
    <row r="332" spans="1:12" x14ac:dyDescent="0.25">
      <c r="A332" s="58">
        <v>46036</v>
      </c>
      <c r="B332" s="18">
        <v>0.20833333333333334</v>
      </c>
      <c r="C332" s="19"/>
      <c r="D332" s="19"/>
      <c r="E332" s="19"/>
      <c r="F332" s="19"/>
      <c r="G332" s="19"/>
      <c r="H332" s="20"/>
      <c r="I332" s="20"/>
      <c r="J332" s="20"/>
      <c r="K332" s="21"/>
      <c r="L332" s="1"/>
    </row>
    <row r="333" spans="1:12" x14ac:dyDescent="0.25">
      <c r="A333" s="58">
        <v>46036</v>
      </c>
      <c r="B333" s="18">
        <v>0.25</v>
      </c>
      <c r="C333" s="19"/>
      <c r="D333" s="19"/>
      <c r="E333" s="19"/>
      <c r="F333" s="19"/>
      <c r="G333" s="19"/>
      <c r="H333" s="20"/>
      <c r="I333" s="20"/>
      <c r="J333" s="20"/>
      <c r="K333" s="21"/>
      <c r="L333" s="2"/>
    </row>
    <row r="334" spans="1:12" x14ac:dyDescent="0.25">
      <c r="A334" s="58">
        <v>46036</v>
      </c>
      <c r="B334" s="18">
        <v>0.29166666666666669</v>
      </c>
      <c r="C334" s="19"/>
      <c r="D334" s="19"/>
      <c r="E334" s="19"/>
      <c r="F334" s="19"/>
      <c r="G334" s="19"/>
      <c r="H334" s="20"/>
      <c r="I334" s="20"/>
      <c r="J334" s="20"/>
      <c r="K334" s="21"/>
      <c r="L334" s="2"/>
    </row>
    <row r="335" spans="1:12" x14ac:dyDescent="0.25">
      <c r="A335" s="58">
        <v>46036</v>
      </c>
      <c r="B335" s="18">
        <v>0.33333333333333331</v>
      </c>
      <c r="C335" s="19"/>
      <c r="D335" s="19"/>
      <c r="E335" s="19"/>
      <c r="F335" s="19"/>
      <c r="G335" s="19"/>
      <c r="H335" s="20"/>
      <c r="I335" s="20"/>
      <c r="J335" s="20"/>
      <c r="K335" s="21"/>
      <c r="L335" s="2"/>
    </row>
    <row r="336" spans="1:12" x14ac:dyDescent="0.25">
      <c r="A336" s="58">
        <v>46036</v>
      </c>
      <c r="B336" s="18">
        <v>0.375</v>
      </c>
      <c r="C336" s="19"/>
      <c r="D336" s="19"/>
      <c r="E336" s="19"/>
      <c r="F336" s="19"/>
      <c r="G336" s="19"/>
      <c r="H336" s="20"/>
      <c r="I336" s="20"/>
      <c r="J336" s="20"/>
      <c r="K336" s="21"/>
      <c r="L336" s="2"/>
    </row>
    <row r="337" spans="1:12" x14ac:dyDescent="0.25">
      <c r="A337" s="58">
        <v>46036</v>
      </c>
      <c r="B337" s="18">
        <v>0.41666666666666669</v>
      </c>
      <c r="C337" s="19"/>
      <c r="D337" s="19"/>
      <c r="E337" s="19"/>
      <c r="F337" s="19"/>
      <c r="G337" s="19"/>
      <c r="H337" s="20"/>
      <c r="I337" s="20"/>
      <c r="J337" s="20"/>
      <c r="K337" s="21"/>
      <c r="L337" s="2"/>
    </row>
    <row r="338" spans="1:12" x14ac:dyDescent="0.25">
      <c r="A338" s="58">
        <v>46036</v>
      </c>
      <c r="B338" s="18">
        <v>0.45833333333333331</v>
      </c>
      <c r="C338" s="19"/>
      <c r="D338" s="19"/>
      <c r="E338" s="19"/>
      <c r="F338" s="19"/>
      <c r="G338" s="19"/>
      <c r="H338" s="20"/>
      <c r="I338" s="20"/>
      <c r="J338" s="20"/>
      <c r="K338" s="21"/>
      <c r="L338" s="2"/>
    </row>
    <row r="339" spans="1:12" x14ac:dyDescent="0.25">
      <c r="A339" s="58">
        <v>46036</v>
      </c>
      <c r="B339" s="18">
        <v>0.5</v>
      </c>
      <c r="C339" s="19"/>
      <c r="D339" s="19"/>
      <c r="E339" s="19"/>
      <c r="F339" s="19"/>
      <c r="G339" s="19"/>
      <c r="H339" s="20"/>
      <c r="I339" s="20"/>
      <c r="J339" s="20"/>
      <c r="K339" s="21"/>
      <c r="L339" s="2"/>
    </row>
    <row r="340" spans="1:12" x14ac:dyDescent="0.25">
      <c r="A340" s="58">
        <v>46036</v>
      </c>
      <c r="B340" s="18">
        <v>0.54166666666666663</v>
      </c>
      <c r="C340" s="19"/>
      <c r="D340" s="19"/>
      <c r="E340" s="19"/>
      <c r="F340" s="19"/>
      <c r="G340" s="19"/>
      <c r="H340" s="20"/>
      <c r="I340" s="20"/>
      <c r="J340" s="20"/>
      <c r="K340" s="21"/>
      <c r="L340" s="2"/>
    </row>
    <row r="341" spans="1:12" x14ac:dyDescent="0.25">
      <c r="A341" s="58">
        <v>46036</v>
      </c>
      <c r="B341" s="18">
        <v>0.58333333333333337</v>
      </c>
      <c r="C341" s="19"/>
      <c r="D341" s="19"/>
      <c r="E341" s="19"/>
      <c r="F341" s="19"/>
      <c r="G341" s="19"/>
      <c r="H341" s="20"/>
      <c r="I341" s="20"/>
      <c r="J341" s="20"/>
      <c r="K341" s="21"/>
      <c r="L341" s="2"/>
    </row>
    <row r="342" spans="1:12" x14ac:dyDescent="0.25">
      <c r="A342" s="58">
        <v>46036</v>
      </c>
      <c r="B342" s="18">
        <v>0.625</v>
      </c>
      <c r="C342" s="19"/>
      <c r="D342" s="19"/>
      <c r="E342" s="19"/>
      <c r="F342" s="19"/>
      <c r="G342" s="19"/>
      <c r="H342" s="20"/>
      <c r="I342" s="20"/>
      <c r="J342" s="20"/>
      <c r="K342" s="21"/>
      <c r="L342" s="2"/>
    </row>
    <row r="343" spans="1:12" x14ac:dyDescent="0.25">
      <c r="A343" s="58">
        <v>46036</v>
      </c>
      <c r="B343" s="18">
        <v>0.66666666666666663</v>
      </c>
      <c r="C343" s="19"/>
      <c r="D343" s="19"/>
      <c r="E343" s="19"/>
      <c r="F343" s="19"/>
      <c r="G343" s="19"/>
      <c r="H343" s="20"/>
      <c r="I343" s="20"/>
      <c r="J343" s="20"/>
      <c r="K343" s="21"/>
      <c r="L343" s="2"/>
    </row>
    <row r="344" spans="1:12" x14ac:dyDescent="0.25">
      <c r="A344" s="58">
        <v>46036</v>
      </c>
      <c r="B344" s="18">
        <v>0.70833333333333337</v>
      </c>
      <c r="C344" s="19"/>
      <c r="D344" s="19"/>
      <c r="E344" s="19"/>
      <c r="F344" s="19"/>
      <c r="G344" s="19"/>
      <c r="H344" s="20"/>
      <c r="I344" s="20"/>
      <c r="J344" s="20"/>
      <c r="K344" s="21"/>
      <c r="L344" s="2"/>
    </row>
    <row r="345" spans="1:12" x14ac:dyDescent="0.25">
      <c r="A345" s="58">
        <v>46036</v>
      </c>
      <c r="B345" s="18">
        <v>0.75</v>
      </c>
      <c r="C345" s="19"/>
      <c r="D345" s="19"/>
      <c r="E345" s="19"/>
      <c r="F345" s="19"/>
      <c r="G345" s="19"/>
      <c r="H345" s="20"/>
      <c r="I345" s="20"/>
      <c r="J345" s="20"/>
      <c r="K345" s="21"/>
      <c r="L345" s="2"/>
    </row>
    <row r="346" spans="1:12" x14ac:dyDescent="0.25">
      <c r="A346" s="58">
        <v>46036</v>
      </c>
      <c r="B346" s="18">
        <v>0.79166666666666663</v>
      </c>
      <c r="C346" s="19"/>
      <c r="D346" s="19"/>
      <c r="E346" s="19"/>
      <c r="F346" s="19"/>
      <c r="G346" s="19"/>
      <c r="H346" s="20"/>
      <c r="I346" s="20"/>
      <c r="J346" s="20"/>
      <c r="K346" s="21"/>
      <c r="L346" s="2"/>
    </row>
    <row r="347" spans="1:12" x14ac:dyDescent="0.25">
      <c r="A347" s="58">
        <v>46036</v>
      </c>
      <c r="B347" s="18">
        <v>0.83333333333333337</v>
      </c>
      <c r="C347" s="19"/>
      <c r="D347" s="19"/>
      <c r="E347" s="19"/>
      <c r="F347" s="19"/>
      <c r="G347" s="19"/>
      <c r="H347" s="20"/>
      <c r="I347" s="20"/>
      <c r="J347" s="20"/>
      <c r="K347" s="21"/>
      <c r="L347" s="2"/>
    </row>
    <row r="348" spans="1:12" x14ac:dyDescent="0.25">
      <c r="A348" s="58">
        <v>46036</v>
      </c>
      <c r="B348" s="18">
        <v>0.875</v>
      </c>
      <c r="C348" s="19"/>
      <c r="D348" s="19"/>
      <c r="E348" s="19"/>
      <c r="F348" s="19"/>
      <c r="G348" s="19"/>
      <c r="H348" s="20"/>
      <c r="I348" s="20"/>
      <c r="J348" s="20"/>
      <c r="K348" s="21"/>
      <c r="L348" s="2"/>
    </row>
    <row r="349" spans="1:12" x14ac:dyDescent="0.25">
      <c r="A349" s="58">
        <v>46036</v>
      </c>
      <c r="B349" s="18">
        <v>0.91666666666666663</v>
      </c>
      <c r="C349" s="19"/>
      <c r="D349" s="19"/>
      <c r="E349" s="19"/>
      <c r="F349" s="19"/>
      <c r="G349" s="19"/>
      <c r="H349" s="20"/>
      <c r="I349" s="20"/>
      <c r="J349" s="20"/>
      <c r="K349" s="21"/>
      <c r="L349" s="2"/>
    </row>
    <row r="350" spans="1:12" ht="15.75" thickBot="1" x14ac:dyDescent="0.3">
      <c r="A350" s="60">
        <v>46036</v>
      </c>
      <c r="B350" s="35">
        <v>0.95833333333333337</v>
      </c>
      <c r="C350" s="23"/>
      <c r="D350" s="23"/>
      <c r="E350" s="23"/>
      <c r="F350" s="23"/>
      <c r="G350" s="23"/>
      <c r="H350" s="24"/>
      <c r="I350" s="24"/>
      <c r="J350" s="24"/>
      <c r="K350" s="25"/>
      <c r="L350" s="2"/>
    </row>
    <row r="351" spans="1:12" ht="15.75" thickBot="1" x14ac:dyDescent="0.3">
      <c r="A351" s="26" t="s">
        <v>25</v>
      </c>
      <c r="B351" s="44"/>
      <c r="C351" s="45" t="str">
        <f t="shared" ref="C351:K351" si="13">IFERROR(ROUND(AVERAGE(C327:C350), 2), "")</f>
        <v/>
      </c>
      <c r="D351" s="45" t="str">
        <f t="shared" si="13"/>
        <v/>
      </c>
      <c r="E351" s="45" t="str">
        <f t="shared" si="13"/>
        <v/>
      </c>
      <c r="F351" s="45" t="str">
        <f t="shared" si="13"/>
        <v/>
      </c>
      <c r="G351" s="45" t="str">
        <f t="shared" si="13"/>
        <v/>
      </c>
      <c r="H351" s="45" t="str">
        <f t="shared" si="13"/>
        <v/>
      </c>
      <c r="I351" s="45" t="str">
        <f t="shared" si="13"/>
        <v/>
      </c>
      <c r="J351" s="45" t="str">
        <f t="shared" si="13"/>
        <v/>
      </c>
      <c r="K351" s="46" t="str">
        <f t="shared" si="13"/>
        <v/>
      </c>
      <c r="L351" s="7"/>
    </row>
    <row r="352" spans="1:12" x14ac:dyDescent="0.25">
      <c r="A352" s="57">
        <v>46037</v>
      </c>
      <c r="B352" s="14">
        <v>0</v>
      </c>
      <c r="C352" s="15"/>
      <c r="D352" s="15"/>
      <c r="E352" s="15"/>
      <c r="F352" s="15"/>
      <c r="G352" s="15"/>
      <c r="H352" s="16"/>
      <c r="I352" s="16"/>
      <c r="J352" s="16"/>
      <c r="K352" s="17"/>
      <c r="L352" s="2"/>
    </row>
    <row r="353" spans="1:12" x14ac:dyDescent="0.25">
      <c r="A353" s="58">
        <v>46037</v>
      </c>
      <c r="B353" s="18">
        <v>4.1666666666666664E-2</v>
      </c>
      <c r="C353" s="19"/>
      <c r="D353" s="19"/>
      <c r="E353" s="19"/>
      <c r="F353" s="19"/>
      <c r="G353" s="19"/>
      <c r="H353" s="20"/>
      <c r="I353" s="20"/>
      <c r="J353" s="20"/>
      <c r="K353" s="21"/>
      <c r="L353" s="2"/>
    </row>
    <row r="354" spans="1:12" x14ac:dyDescent="0.25">
      <c r="A354" s="58">
        <v>46037</v>
      </c>
      <c r="B354" s="18">
        <v>8.3333333333333329E-2</v>
      </c>
      <c r="C354" s="19"/>
      <c r="D354" s="19"/>
      <c r="E354" s="19"/>
      <c r="F354" s="19"/>
      <c r="G354" s="19"/>
      <c r="H354" s="20"/>
      <c r="I354" s="20"/>
      <c r="J354" s="20"/>
      <c r="K354" s="21"/>
      <c r="L354" s="2"/>
    </row>
    <row r="355" spans="1:12" x14ac:dyDescent="0.25">
      <c r="A355" s="58">
        <v>46037</v>
      </c>
      <c r="B355" s="18">
        <v>0.125</v>
      </c>
      <c r="C355" s="19"/>
      <c r="D355" s="19"/>
      <c r="E355" s="19"/>
      <c r="F355" s="19"/>
      <c r="G355" s="19"/>
      <c r="H355" s="20"/>
      <c r="I355" s="20"/>
      <c r="J355" s="20"/>
      <c r="K355" s="21"/>
      <c r="L355" s="2"/>
    </row>
    <row r="356" spans="1:12" x14ac:dyDescent="0.25">
      <c r="A356" s="58">
        <v>46037</v>
      </c>
      <c r="B356" s="18">
        <v>0.16666666666666666</v>
      </c>
      <c r="C356" s="19"/>
      <c r="D356" s="19"/>
      <c r="E356" s="19"/>
      <c r="F356" s="19"/>
      <c r="G356" s="19"/>
      <c r="H356" s="20"/>
      <c r="I356" s="20"/>
      <c r="J356" s="20"/>
      <c r="K356" s="21"/>
      <c r="L356" s="2"/>
    </row>
    <row r="357" spans="1:12" x14ac:dyDescent="0.25">
      <c r="A357" s="58">
        <v>46037</v>
      </c>
      <c r="B357" s="18">
        <v>0.20833333333333334</v>
      </c>
      <c r="C357" s="19"/>
      <c r="D357" s="19"/>
      <c r="E357" s="19"/>
      <c r="F357" s="19"/>
      <c r="G357" s="19"/>
      <c r="H357" s="20"/>
      <c r="I357" s="20"/>
      <c r="J357" s="20"/>
      <c r="K357" s="21"/>
      <c r="L357" s="2"/>
    </row>
    <row r="358" spans="1:12" x14ac:dyDescent="0.25">
      <c r="A358" s="58">
        <v>46037</v>
      </c>
      <c r="B358" s="18">
        <v>0.25</v>
      </c>
      <c r="C358" s="19"/>
      <c r="D358" s="19"/>
      <c r="E358" s="19"/>
      <c r="F358" s="19"/>
      <c r="G358" s="19"/>
      <c r="H358" s="20"/>
      <c r="I358" s="20"/>
      <c r="J358" s="20"/>
      <c r="K358" s="21"/>
      <c r="L358" s="2"/>
    </row>
    <row r="359" spans="1:12" x14ac:dyDescent="0.25">
      <c r="A359" s="58">
        <v>46037</v>
      </c>
      <c r="B359" s="18">
        <v>0.29166666666666669</v>
      </c>
      <c r="C359" s="19"/>
      <c r="D359" s="19"/>
      <c r="E359" s="19"/>
      <c r="F359" s="19"/>
      <c r="G359" s="19"/>
      <c r="H359" s="20"/>
      <c r="I359" s="20"/>
      <c r="J359" s="20"/>
      <c r="K359" s="21"/>
      <c r="L359" s="2"/>
    </row>
    <row r="360" spans="1:12" x14ac:dyDescent="0.25">
      <c r="A360" s="58">
        <v>46037</v>
      </c>
      <c r="B360" s="18">
        <v>0.33333333333333331</v>
      </c>
      <c r="C360" s="19"/>
      <c r="D360" s="19"/>
      <c r="E360" s="19"/>
      <c r="F360" s="19"/>
      <c r="G360" s="19"/>
      <c r="H360" s="20"/>
      <c r="I360" s="20"/>
      <c r="J360" s="20"/>
      <c r="K360" s="21"/>
      <c r="L360" s="2"/>
    </row>
    <row r="361" spans="1:12" x14ac:dyDescent="0.25">
      <c r="A361" s="58">
        <v>46037</v>
      </c>
      <c r="B361" s="18">
        <v>0.375</v>
      </c>
      <c r="C361" s="19"/>
      <c r="D361" s="19"/>
      <c r="E361" s="19"/>
      <c r="F361" s="19"/>
      <c r="G361" s="19"/>
      <c r="H361" s="20"/>
      <c r="I361" s="20"/>
      <c r="J361" s="20"/>
      <c r="K361" s="21"/>
      <c r="L361" s="2"/>
    </row>
    <row r="362" spans="1:12" x14ac:dyDescent="0.25">
      <c r="A362" s="58">
        <v>46037</v>
      </c>
      <c r="B362" s="18">
        <v>0.41666666666666669</v>
      </c>
      <c r="C362" s="19"/>
      <c r="D362" s="19"/>
      <c r="E362" s="19"/>
      <c r="F362" s="19"/>
      <c r="G362" s="19"/>
      <c r="H362" s="20"/>
      <c r="I362" s="20"/>
      <c r="J362" s="20"/>
      <c r="K362" s="21"/>
      <c r="L362" s="2"/>
    </row>
    <row r="363" spans="1:12" x14ac:dyDescent="0.25">
      <c r="A363" s="58">
        <v>46037</v>
      </c>
      <c r="B363" s="18">
        <v>0.45833333333333331</v>
      </c>
      <c r="C363" s="19"/>
      <c r="D363" s="19"/>
      <c r="E363" s="19"/>
      <c r="F363" s="19"/>
      <c r="G363" s="19"/>
      <c r="H363" s="20"/>
      <c r="I363" s="20"/>
      <c r="J363" s="20"/>
      <c r="K363" s="21"/>
      <c r="L363" s="2"/>
    </row>
    <row r="364" spans="1:12" x14ac:dyDescent="0.25">
      <c r="A364" s="58">
        <v>46037</v>
      </c>
      <c r="B364" s="18">
        <v>0.5</v>
      </c>
      <c r="C364" s="19"/>
      <c r="D364" s="19"/>
      <c r="E364" s="19"/>
      <c r="F364" s="19"/>
      <c r="G364" s="19"/>
      <c r="H364" s="20"/>
      <c r="I364" s="20"/>
      <c r="J364" s="20"/>
      <c r="K364" s="21"/>
      <c r="L364" s="2"/>
    </row>
    <row r="365" spans="1:12" x14ac:dyDescent="0.25">
      <c r="A365" s="58">
        <v>46037</v>
      </c>
      <c r="B365" s="18">
        <v>0.54166666666666663</v>
      </c>
      <c r="C365" s="19"/>
      <c r="D365" s="19"/>
      <c r="E365" s="19"/>
      <c r="F365" s="19"/>
      <c r="G365" s="19"/>
      <c r="H365" s="20"/>
      <c r="I365" s="20"/>
      <c r="J365" s="20"/>
      <c r="K365" s="21"/>
      <c r="L365" s="2"/>
    </row>
    <row r="366" spans="1:12" x14ac:dyDescent="0.25">
      <c r="A366" s="58">
        <v>46037</v>
      </c>
      <c r="B366" s="18">
        <v>0.58333333333333337</v>
      </c>
      <c r="C366" s="19"/>
      <c r="D366" s="19"/>
      <c r="E366" s="19"/>
      <c r="F366" s="19"/>
      <c r="G366" s="19"/>
      <c r="H366" s="20"/>
      <c r="I366" s="20"/>
      <c r="J366" s="20"/>
      <c r="K366" s="21"/>
      <c r="L366" s="2"/>
    </row>
    <row r="367" spans="1:12" x14ac:dyDescent="0.25">
      <c r="A367" s="58">
        <v>46037</v>
      </c>
      <c r="B367" s="18">
        <v>0.625</v>
      </c>
      <c r="C367" s="19"/>
      <c r="D367" s="19"/>
      <c r="E367" s="19"/>
      <c r="F367" s="19"/>
      <c r="G367" s="19"/>
      <c r="H367" s="20"/>
      <c r="I367" s="20"/>
      <c r="J367" s="20"/>
      <c r="K367" s="21"/>
      <c r="L367" s="2"/>
    </row>
    <row r="368" spans="1:12" x14ac:dyDescent="0.25">
      <c r="A368" s="58">
        <v>46037</v>
      </c>
      <c r="B368" s="18">
        <v>0.66666666666666663</v>
      </c>
      <c r="C368" s="19"/>
      <c r="D368" s="19"/>
      <c r="E368" s="19"/>
      <c r="F368" s="19"/>
      <c r="G368" s="19"/>
      <c r="H368" s="20"/>
      <c r="I368" s="20"/>
      <c r="J368" s="20"/>
      <c r="K368" s="21"/>
      <c r="L368" s="2"/>
    </row>
    <row r="369" spans="1:12" x14ac:dyDescent="0.25">
      <c r="A369" s="58">
        <v>46037</v>
      </c>
      <c r="B369" s="18">
        <v>0.70833333333333337</v>
      </c>
      <c r="C369" s="19"/>
      <c r="D369" s="19"/>
      <c r="E369" s="19"/>
      <c r="F369" s="19"/>
      <c r="G369" s="19"/>
      <c r="H369" s="20"/>
      <c r="I369" s="20"/>
      <c r="J369" s="20"/>
      <c r="K369" s="21"/>
      <c r="L369" s="2"/>
    </row>
    <row r="370" spans="1:12" x14ac:dyDescent="0.25">
      <c r="A370" s="58">
        <v>46037</v>
      </c>
      <c r="B370" s="18">
        <v>0.75</v>
      </c>
      <c r="C370" s="19"/>
      <c r="D370" s="19"/>
      <c r="E370" s="19"/>
      <c r="F370" s="19"/>
      <c r="G370" s="19"/>
      <c r="H370" s="20"/>
      <c r="I370" s="20"/>
      <c r="J370" s="20"/>
      <c r="K370" s="21"/>
      <c r="L370" s="2"/>
    </row>
    <row r="371" spans="1:12" x14ac:dyDescent="0.25">
      <c r="A371" s="58">
        <v>46037</v>
      </c>
      <c r="B371" s="18">
        <v>0.79166666666666663</v>
      </c>
      <c r="C371" s="19"/>
      <c r="D371" s="19"/>
      <c r="E371" s="19"/>
      <c r="F371" s="19"/>
      <c r="G371" s="19"/>
      <c r="H371" s="20"/>
      <c r="I371" s="20"/>
      <c r="J371" s="20"/>
      <c r="K371" s="21"/>
      <c r="L371" s="2"/>
    </row>
    <row r="372" spans="1:12" x14ac:dyDescent="0.25">
      <c r="A372" s="58">
        <v>46037</v>
      </c>
      <c r="B372" s="18">
        <v>0.83333333333333337</v>
      </c>
      <c r="C372" s="19"/>
      <c r="D372" s="19"/>
      <c r="E372" s="19"/>
      <c r="F372" s="19"/>
      <c r="G372" s="19"/>
      <c r="H372" s="20"/>
      <c r="I372" s="20"/>
      <c r="J372" s="20"/>
      <c r="K372" s="21"/>
      <c r="L372" s="2"/>
    </row>
    <row r="373" spans="1:12" x14ac:dyDescent="0.25">
      <c r="A373" s="58">
        <v>46037</v>
      </c>
      <c r="B373" s="18">
        <v>0.875</v>
      </c>
      <c r="C373" s="19"/>
      <c r="D373" s="19"/>
      <c r="E373" s="19"/>
      <c r="F373" s="19"/>
      <c r="G373" s="19"/>
      <c r="H373" s="20"/>
      <c r="I373" s="20"/>
      <c r="J373" s="20"/>
      <c r="K373" s="21"/>
      <c r="L373" s="2"/>
    </row>
    <row r="374" spans="1:12" x14ac:dyDescent="0.25">
      <c r="A374" s="58">
        <v>46037</v>
      </c>
      <c r="B374" s="18">
        <v>0.91666666666666663</v>
      </c>
      <c r="C374" s="19"/>
      <c r="D374" s="19"/>
      <c r="E374" s="19"/>
      <c r="F374" s="19"/>
      <c r="G374" s="19"/>
      <c r="H374" s="20"/>
      <c r="I374" s="20"/>
      <c r="J374" s="20"/>
      <c r="K374" s="21"/>
      <c r="L374" s="2"/>
    </row>
    <row r="375" spans="1:12" ht="15.75" thickBot="1" x14ac:dyDescent="0.3">
      <c r="A375" s="60">
        <v>46037</v>
      </c>
      <c r="B375" s="35">
        <v>0.95833333333333337</v>
      </c>
      <c r="C375" s="23"/>
      <c r="D375" s="23"/>
      <c r="E375" s="23"/>
      <c r="F375" s="23"/>
      <c r="G375" s="23"/>
      <c r="H375" s="24"/>
      <c r="I375" s="24"/>
      <c r="J375" s="24"/>
      <c r="K375" s="25"/>
      <c r="L375" s="2"/>
    </row>
    <row r="376" spans="1:12" ht="15.75" thickBot="1" x14ac:dyDescent="0.3">
      <c r="A376" s="26" t="s">
        <v>26</v>
      </c>
      <c r="B376" s="44"/>
      <c r="C376" s="45" t="str">
        <f t="shared" ref="C376:K376" si="14">IFERROR(ROUND(AVERAGE(C352:C375), 2), "")</f>
        <v/>
      </c>
      <c r="D376" s="45" t="str">
        <f t="shared" si="14"/>
        <v/>
      </c>
      <c r="E376" s="45" t="str">
        <f t="shared" si="14"/>
        <v/>
      </c>
      <c r="F376" s="45" t="str">
        <f t="shared" si="14"/>
        <v/>
      </c>
      <c r="G376" s="45" t="str">
        <f t="shared" si="14"/>
        <v/>
      </c>
      <c r="H376" s="45" t="str">
        <f t="shared" si="14"/>
        <v/>
      </c>
      <c r="I376" s="45" t="str">
        <f t="shared" si="14"/>
        <v/>
      </c>
      <c r="J376" s="45" t="str">
        <f t="shared" si="14"/>
        <v/>
      </c>
      <c r="K376" s="46" t="str">
        <f t="shared" si="14"/>
        <v/>
      </c>
      <c r="L376" s="7"/>
    </row>
    <row r="377" spans="1:12" x14ac:dyDescent="0.25">
      <c r="A377" s="57">
        <v>46038</v>
      </c>
      <c r="B377" s="14">
        <v>0</v>
      </c>
      <c r="C377" s="15"/>
      <c r="D377" s="15"/>
      <c r="E377" s="15"/>
      <c r="F377" s="15"/>
      <c r="G377" s="15"/>
      <c r="H377" s="16"/>
      <c r="I377" s="16"/>
      <c r="J377" s="16"/>
      <c r="K377" s="17"/>
      <c r="L377" s="2"/>
    </row>
    <row r="378" spans="1:12" x14ac:dyDescent="0.25">
      <c r="A378" s="58">
        <v>46038</v>
      </c>
      <c r="B378" s="18">
        <v>4.1666666666666664E-2</v>
      </c>
      <c r="C378" s="19"/>
      <c r="D378" s="19"/>
      <c r="E378" s="19"/>
      <c r="F378" s="19"/>
      <c r="G378" s="19"/>
      <c r="H378" s="20"/>
      <c r="I378" s="20"/>
      <c r="J378" s="20"/>
      <c r="K378" s="21"/>
      <c r="L378" s="2"/>
    </row>
    <row r="379" spans="1:12" x14ac:dyDescent="0.25">
      <c r="A379" s="58">
        <v>46038</v>
      </c>
      <c r="B379" s="18">
        <v>8.3333333333333329E-2</v>
      </c>
      <c r="C379" s="19"/>
      <c r="D379" s="19"/>
      <c r="E379" s="19"/>
      <c r="F379" s="19"/>
      <c r="G379" s="19"/>
      <c r="H379" s="20"/>
      <c r="I379" s="20"/>
      <c r="J379" s="20"/>
      <c r="K379" s="21"/>
      <c r="L379" s="2"/>
    </row>
    <row r="380" spans="1:12" x14ac:dyDescent="0.25">
      <c r="A380" s="58">
        <v>46038</v>
      </c>
      <c r="B380" s="18">
        <v>0.125</v>
      </c>
      <c r="C380" s="19"/>
      <c r="D380" s="19"/>
      <c r="E380" s="19"/>
      <c r="F380" s="19"/>
      <c r="G380" s="19"/>
      <c r="H380" s="20"/>
      <c r="I380" s="20"/>
      <c r="J380" s="20"/>
      <c r="K380" s="21"/>
      <c r="L380" s="2"/>
    </row>
    <row r="381" spans="1:12" x14ac:dyDescent="0.25">
      <c r="A381" s="58">
        <v>46038</v>
      </c>
      <c r="B381" s="18">
        <v>0.16666666666666666</v>
      </c>
      <c r="C381" s="19"/>
      <c r="D381" s="19"/>
      <c r="E381" s="19"/>
      <c r="F381" s="19"/>
      <c r="G381" s="19"/>
      <c r="H381" s="20"/>
      <c r="I381" s="20"/>
      <c r="J381" s="20"/>
      <c r="K381" s="21"/>
      <c r="L381" s="2"/>
    </row>
    <row r="382" spans="1:12" x14ac:dyDescent="0.25">
      <c r="A382" s="58">
        <v>46038</v>
      </c>
      <c r="B382" s="18">
        <v>0.20833333333333334</v>
      </c>
      <c r="C382" s="19"/>
      <c r="D382" s="19"/>
      <c r="E382" s="19"/>
      <c r="F382" s="19"/>
      <c r="G382" s="19"/>
      <c r="H382" s="20"/>
      <c r="I382" s="20"/>
      <c r="J382" s="20"/>
      <c r="K382" s="21"/>
      <c r="L382" s="2"/>
    </row>
    <row r="383" spans="1:12" x14ac:dyDescent="0.25">
      <c r="A383" s="58">
        <v>46038</v>
      </c>
      <c r="B383" s="18">
        <v>0.25</v>
      </c>
      <c r="C383" s="19"/>
      <c r="D383" s="19"/>
      <c r="E383" s="19"/>
      <c r="F383" s="19"/>
      <c r="G383" s="19"/>
      <c r="H383" s="20"/>
      <c r="I383" s="20"/>
      <c r="J383" s="20"/>
      <c r="K383" s="21"/>
      <c r="L383" s="2"/>
    </row>
    <row r="384" spans="1:12" x14ac:dyDescent="0.25">
      <c r="A384" s="58">
        <v>46038</v>
      </c>
      <c r="B384" s="18">
        <v>0.29166666666666669</v>
      </c>
      <c r="C384" s="19"/>
      <c r="D384" s="19"/>
      <c r="E384" s="19"/>
      <c r="F384" s="19"/>
      <c r="G384" s="19"/>
      <c r="H384" s="20"/>
      <c r="I384" s="20"/>
      <c r="J384" s="20"/>
      <c r="K384" s="21"/>
      <c r="L384" s="2"/>
    </row>
    <row r="385" spans="1:12" x14ac:dyDescent="0.25">
      <c r="A385" s="58">
        <v>46038</v>
      </c>
      <c r="B385" s="18">
        <v>0.33333333333333331</v>
      </c>
      <c r="C385" s="19"/>
      <c r="D385" s="19"/>
      <c r="E385" s="19"/>
      <c r="F385" s="19"/>
      <c r="G385" s="19"/>
      <c r="H385" s="20"/>
      <c r="I385" s="20"/>
      <c r="J385" s="20"/>
      <c r="K385" s="21"/>
      <c r="L385" s="2"/>
    </row>
    <row r="386" spans="1:12" x14ac:dyDescent="0.25">
      <c r="A386" s="58">
        <v>46038</v>
      </c>
      <c r="B386" s="18">
        <v>0.375</v>
      </c>
      <c r="C386" s="19"/>
      <c r="D386" s="19"/>
      <c r="E386" s="19"/>
      <c r="F386" s="19"/>
      <c r="G386" s="19"/>
      <c r="H386" s="20"/>
      <c r="I386" s="20"/>
      <c r="J386" s="20"/>
      <c r="K386" s="21"/>
      <c r="L386" s="2"/>
    </row>
    <row r="387" spans="1:12" x14ac:dyDescent="0.25">
      <c r="A387" s="58">
        <v>46038</v>
      </c>
      <c r="B387" s="18">
        <v>0.41666666666666669</v>
      </c>
      <c r="C387" s="19"/>
      <c r="D387" s="19"/>
      <c r="E387" s="19"/>
      <c r="F387" s="19"/>
      <c r="G387" s="19"/>
      <c r="H387" s="20"/>
      <c r="I387" s="20"/>
      <c r="J387" s="20"/>
      <c r="K387" s="21"/>
      <c r="L387" s="2"/>
    </row>
    <row r="388" spans="1:12" x14ac:dyDescent="0.25">
      <c r="A388" s="58">
        <v>46038</v>
      </c>
      <c r="B388" s="18">
        <v>0.45833333333333331</v>
      </c>
      <c r="C388" s="19"/>
      <c r="D388" s="19"/>
      <c r="E388" s="19"/>
      <c r="F388" s="19"/>
      <c r="G388" s="19"/>
      <c r="H388" s="20"/>
      <c r="I388" s="20"/>
      <c r="J388" s="20"/>
      <c r="K388" s="21"/>
      <c r="L388" s="2"/>
    </row>
    <row r="389" spans="1:12" x14ac:dyDescent="0.25">
      <c r="A389" s="58">
        <v>46038</v>
      </c>
      <c r="B389" s="18">
        <v>0.5</v>
      </c>
      <c r="C389" s="19"/>
      <c r="D389" s="19"/>
      <c r="E389" s="19"/>
      <c r="F389" s="19"/>
      <c r="G389" s="19"/>
      <c r="H389" s="20"/>
      <c r="I389" s="20"/>
      <c r="J389" s="20"/>
      <c r="K389" s="21"/>
      <c r="L389" s="2"/>
    </row>
    <row r="390" spans="1:12" x14ac:dyDescent="0.25">
      <c r="A390" s="58">
        <v>46038</v>
      </c>
      <c r="B390" s="18">
        <v>0.54166666666666663</v>
      </c>
      <c r="C390" s="19"/>
      <c r="D390" s="19"/>
      <c r="E390" s="19"/>
      <c r="F390" s="19"/>
      <c r="G390" s="19"/>
      <c r="H390" s="20"/>
      <c r="I390" s="20"/>
      <c r="J390" s="20"/>
      <c r="K390" s="21"/>
      <c r="L390" s="2"/>
    </row>
    <row r="391" spans="1:12" x14ac:dyDescent="0.25">
      <c r="A391" s="58">
        <v>46038</v>
      </c>
      <c r="B391" s="18">
        <v>0.58333333333333337</v>
      </c>
      <c r="C391" s="19"/>
      <c r="D391" s="19"/>
      <c r="E391" s="19"/>
      <c r="F391" s="19"/>
      <c r="G391" s="19"/>
      <c r="H391" s="20"/>
      <c r="I391" s="20"/>
      <c r="J391" s="20"/>
      <c r="K391" s="21"/>
      <c r="L391" s="2"/>
    </row>
    <row r="392" spans="1:12" x14ac:dyDescent="0.25">
      <c r="A392" s="58">
        <v>46038</v>
      </c>
      <c r="B392" s="18">
        <v>0.625</v>
      </c>
      <c r="C392" s="19"/>
      <c r="D392" s="19"/>
      <c r="E392" s="19"/>
      <c r="F392" s="19"/>
      <c r="G392" s="19"/>
      <c r="H392" s="20"/>
      <c r="I392" s="20"/>
      <c r="J392" s="20"/>
      <c r="K392" s="21"/>
      <c r="L392" s="2"/>
    </row>
    <row r="393" spans="1:12" x14ac:dyDescent="0.25">
      <c r="A393" s="58">
        <v>46038</v>
      </c>
      <c r="B393" s="18">
        <v>0.66666666666666663</v>
      </c>
      <c r="C393" s="19"/>
      <c r="D393" s="19"/>
      <c r="E393" s="19"/>
      <c r="F393" s="19"/>
      <c r="G393" s="19"/>
      <c r="H393" s="20"/>
      <c r="I393" s="20"/>
      <c r="J393" s="20"/>
      <c r="K393" s="21"/>
      <c r="L393" s="2"/>
    </row>
    <row r="394" spans="1:12" x14ac:dyDescent="0.25">
      <c r="A394" s="58">
        <v>46038</v>
      </c>
      <c r="B394" s="18">
        <v>0.70833333333333337</v>
      </c>
      <c r="C394" s="19"/>
      <c r="D394" s="19"/>
      <c r="E394" s="19"/>
      <c r="F394" s="19"/>
      <c r="G394" s="19"/>
      <c r="H394" s="20"/>
      <c r="I394" s="20"/>
      <c r="J394" s="20"/>
      <c r="K394" s="21"/>
      <c r="L394" s="2"/>
    </row>
    <row r="395" spans="1:12" x14ac:dyDescent="0.25">
      <c r="A395" s="58">
        <v>46038</v>
      </c>
      <c r="B395" s="18">
        <v>0.75</v>
      </c>
      <c r="C395" s="19"/>
      <c r="D395" s="19"/>
      <c r="E395" s="19"/>
      <c r="F395" s="19"/>
      <c r="G395" s="19"/>
      <c r="H395" s="20"/>
      <c r="I395" s="20"/>
      <c r="J395" s="20"/>
      <c r="K395" s="21"/>
      <c r="L395" s="2"/>
    </row>
    <row r="396" spans="1:12" x14ac:dyDescent="0.25">
      <c r="A396" s="58">
        <v>46038</v>
      </c>
      <c r="B396" s="18">
        <v>0.79166666666666663</v>
      </c>
      <c r="C396" s="19"/>
      <c r="D396" s="19"/>
      <c r="E396" s="19"/>
      <c r="F396" s="19"/>
      <c r="G396" s="19"/>
      <c r="H396" s="20"/>
      <c r="I396" s="20"/>
      <c r="J396" s="20"/>
      <c r="K396" s="21"/>
      <c r="L396" s="2"/>
    </row>
    <row r="397" spans="1:12" x14ac:dyDescent="0.25">
      <c r="A397" s="58">
        <v>46038</v>
      </c>
      <c r="B397" s="18">
        <v>0.83333333333333337</v>
      </c>
      <c r="C397" s="19"/>
      <c r="D397" s="19"/>
      <c r="E397" s="19"/>
      <c r="F397" s="19"/>
      <c r="G397" s="19"/>
      <c r="H397" s="20"/>
      <c r="I397" s="20"/>
      <c r="J397" s="20"/>
      <c r="K397" s="21"/>
      <c r="L397" s="2"/>
    </row>
    <row r="398" spans="1:12" x14ac:dyDescent="0.25">
      <c r="A398" s="58">
        <v>46038</v>
      </c>
      <c r="B398" s="18">
        <v>0.875</v>
      </c>
      <c r="C398" s="19"/>
      <c r="D398" s="19"/>
      <c r="E398" s="19"/>
      <c r="F398" s="19"/>
      <c r="G398" s="19"/>
      <c r="H398" s="20"/>
      <c r="I398" s="20"/>
      <c r="J398" s="20"/>
      <c r="K398" s="21"/>
      <c r="L398" s="2"/>
    </row>
    <row r="399" spans="1:12" x14ac:dyDescent="0.25">
      <c r="A399" s="58">
        <v>46038</v>
      </c>
      <c r="B399" s="18">
        <v>0.91666666666666663</v>
      </c>
      <c r="C399" s="19"/>
      <c r="D399" s="19"/>
      <c r="E399" s="19"/>
      <c r="F399" s="19"/>
      <c r="G399" s="19"/>
      <c r="H399" s="20"/>
      <c r="I399" s="20"/>
      <c r="J399" s="20"/>
      <c r="K399" s="21"/>
      <c r="L399" s="2"/>
    </row>
    <row r="400" spans="1:12" ht="15.75" thickBot="1" x14ac:dyDescent="0.3">
      <c r="A400" s="60">
        <v>46038</v>
      </c>
      <c r="B400" s="35">
        <v>0.95833333333333337</v>
      </c>
      <c r="C400" s="23"/>
      <c r="D400" s="23"/>
      <c r="E400" s="23"/>
      <c r="F400" s="23"/>
      <c r="G400" s="23"/>
      <c r="H400" s="24"/>
      <c r="I400" s="24"/>
      <c r="J400" s="24"/>
      <c r="K400" s="25"/>
      <c r="L400" s="2"/>
    </row>
    <row r="401" spans="1:12" ht="15.75" thickBot="1" x14ac:dyDescent="0.3">
      <c r="A401" s="26" t="s">
        <v>27</v>
      </c>
      <c r="B401" s="44"/>
      <c r="C401" s="45" t="str">
        <f t="shared" ref="C401:K401" si="15">IFERROR(ROUND(AVERAGE(C377:C400), 2), "")</f>
        <v/>
      </c>
      <c r="D401" s="45" t="str">
        <f t="shared" si="15"/>
        <v/>
      </c>
      <c r="E401" s="45" t="str">
        <f t="shared" si="15"/>
        <v/>
      </c>
      <c r="F401" s="45" t="str">
        <f t="shared" si="15"/>
        <v/>
      </c>
      <c r="G401" s="45" t="str">
        <f t="shared" si="15"/>
        <v/>
      </c>
      <c r="H401" s="45" t="str">
        <f t="shared" si="15"/>
        <v/>
      </c>
      <c r="I401" s="45" t="str">
        <f t="shared" si="15"/>
        <v/>
      </c>
      <c r="J401" s="45" t="str">
        <f t="shared" si="15"/>
        <v/>
      </c>
      <c r="K401" s="46" t="str">
        <f t="shared" si="15"/>
        <v/>
      </c>
      <c r="L401" s="7"/>
    </row>
    <row r="402" spans="1:12" x14ac:dyDescent="0.25">
      <c r="A402" s="57">
        <v>46039</v>
      </c>
      <c r="B402" s="14">
        <v>0</v>
      </c>
      <c r="C402" s="15"/>
      <c r="D402" s="15"/>
      <c r="E402" s="15"/>
      <c r="F402" s="15"/>
      <c r="G402" s="15"/>
      <c r="H402" s="16"/>
      <c r="I402" s="16"/>
      <c r="J402" s="16"/>
      <c r="K402" s="17"/>
      <c r="L402" s="2"/>
    </row>
    <row r="403" spans="1:12" x14ac:dyDescent="0.25">
      <c r="A403" s="58">
        <v>46039</v>
      </c>
      <c r="B403" s="18">
        <v>4.1666666666666664E-2</v>
      </c>
      <c r="C403" s="19"/>
      <c r="D403" s="19"/>
      <c r="E403" s="19"/>
      <c r="F403" s="19"/>
      <c r="G403" s="19"/>
      <c r="H403" s="20"/>
      <c r="I403" s="20"/>
      <c r="J403" s="20"/>
      <c r="K403" s="21"/>
      <c r="L403" s="2"/>
    </row>
    <row r="404" spans="1:12" x14ac:dyDescent="0.25">
      <c r="A404" s="58">
        <v>46039</v>
      </c>
      <c r="B404" s="18">
        <v>8.3333333333333329E-2</v>
      </c>
      <c r="C404" s="19"/>
      <c r="D404" s="19"/>
      <c r="E404" s="19"/>
      <c r="F404" s="19"/>
      <c r="G404" s="19"/>
      <c r="H404" s="20"/>
      <c r="I404" s="20"/>
      <c r="J404" s="20"/>
      <c r="K404" s="21"/>
      <c r="L404" s="2"/>
    </row>
    <row r="405" spans="1:12" x14ac:dyDescent="0.25">
      <c r="A405" s="58">
        <v>46039</v>
      </c>
      <c r="B405" s="18">
        <v>0.125</v>
      </c>
      <c r="C405" s="19"/>
      <c r="D405" s="19"/>
      <c r="E405" s="19"/>
      <c r="F405" s="19"/>
      <c r="G405" s="19"/>
      <c r="H405" s="20"/>
      <c r="I405" s="20"/>
      <c r="J405" s="20"/>
      <c r="K405" s="21"/>
      <c r="L405" s="2"/>
    </row>
    <row r="406" spans="1:12" x14ac:dyDescent="0.25">
      <c r="A406" s="58">
        <v>46039</v>
      </c>
      <c r="B406" s="18">
        <v>0.16666666666666666</v>
      </c>
      <c r="C406" s="19"/>
      <c r="D406" s="19"/>
      <c r="E406" s="19"/>
      <c r="F406" s="19"/>
      <c r="G406" s="19"/>
      <c r="H406" s="20"/>
      <c r="I406" s="20"/>
      <c r="J406" s="20"/>
      <c r="K406" s="21"/>
      <c r="L406" s="2"/>
    </row>
    <row r="407" spans="1:12" x14ac:dyDescent="0.25">
      <c r="A407" s="58">
        <v>46039</v>
      </c>
      <c r="B407" s="18">
        <v>0.20833333333333334</v>
      </c>
      <c r="C407" s="19"/>
      <c r="D407" s="19"/>
      <c r="E407" s="19"/>
      <c r="F407" s="19"/>
      <c r="G407" s="19"/>
      <c r="H407" s="20"/>
      <c r="I407" s="20"/>
      <c r="J407" s="20"/>
      <c r="K407" s="21"/>
      <c r="L407" s="2"/>
    </row>
    <row r="408" spans="1:12" x14ac:dyDescent="0.25">
      <c r="A408" s="58">
        <v>46039</v>
      </c>
      <c r="B408" s="18">
        <v>0.25</v>
      </c>
      <c r="C408" s="19"/>
      <c r="D408" s="19"/>
      <c r="E408" s="19"/>
      <c r="F408" s="19"/>
      <c r="G408" s="19"/>
      <c r="H408" s="20"/>
      <c r="I408" s="20"/>
      <c r="J408" s="20"/>
      <c r="K408" s="21"/>
      <c r="L408" s="2"/>
    </row>
    <row r="409" spans="1:12" x14ac:dyDescent="0.25">
      <c r="A409" s="58">
        <v>46039</v>
      </c>
      <c r="B409" s="18">
        <v>0.29166666666666669</v>
      </c>
      <c r="C409" s="19"/>
      <c r="D409" s="19"/>
      <c r="E409" s="19"/>
      <c r="F409" s="19"/>
      <c r="G409" s="19"/>
      <c r="H409" s="20"/>
      <c r="I409" s="20"/>
      <c r="J409" s="20"/>
      <c r="K409" s="21"/>
      <c r="L409" s="2"/>
    </row>
    <row r="410" spans="1:12" x14ac:dyDescent="0.25">
      <c r="A410" s="58">
        <v>46039</v>
      </c>
      <c r="B410" s="18">
        <v>0.33333333333333331</v>
      </c>
      <c r="C410" s="19"/>
      <c r="D410" s="19"/>
      <c r="E410" s="19"/>
      <c r="F410" s="19"/>
      <c r="G410" s="19"/>
      <c r="H410" s="20"/>
      <c r="I410" s="20"/>
      <c r="J410" s="20"/>
      <c r="K410" s="21"/>
      <c r="L410" s="2"/>
    </row>
    <row r="411" spans="1:12" x14ac:dyDescent="0.25">
      <c r="A411" s="58">
        <v>46039</v>
      </c>
      <c r="B411" s="18">
        <v>0.375</v>
      </c>
      <c r="C411" s="19"/>
      <c r="D411" s="19"/>
      <c r="E411" s="19"/>
      <c r="F411" s="19"/>
      <c r="G411" s="19"/>
      <c r="H411" s="20"/>
      <c r="I411" s="20"/>
      <c r="J411" s="20"/>
      <c r="K411" s="21"/>
      <c r="L411" s="2"/>
    </row>
    <row r="412" spans="1:12" x14ac:dyDescent="0.25">
      <c r="A412" s="58">
        <v>46039</v>
      </c>
      <c r="B412" s="18">
        <v>0.41666666666666669</v>
      </c>
      <c r="C412" s="19"/>
      <c r="D412" s="19"/>
      <c r="E412" s="19"/>
      <c r="F412" s="19"/>
      <c r="G412" s="19"/>
      <c r="H412" s="20"/>
      <c r="I412" s="20"/>
      <c r="J412" s="20"/>
      <c r="K412" s="21"/>
      <c r="L412" s="2"/>
    </row>
    <row r="413" spans="1:12" x14ac:dyDescent="0.25">
      <c r="A413" s="58">
        <v>46039</v>
      </c>
      <c r="B413" s="18">
        <v>0.45833333333333331</v>
      </c>
      <c r="C413" s="19"/>
      <c r="D413" s="19"/>
      <c r="E413" s="19"/>
      <c r="F413" s="19"/>
      <c r="G413" s="19"/>
      <c r="H413" s="20"/>
      <c r="I413" s="20"/>
      <c r="J413" s="20"/>
      <c r="K413" s="21"/>
      <c r="L413" s="2"/>
    </row>
    <row r="414" spans="1:12" x14ac:dyDescent="0.25">
      <c r="A414" s="58">
        <v>46039</v>
      </c>
      <c r="B414" s="18">
        <v>0.5</v>
      </c>
      <c r="C414" s="19"/>
      <c r="D414" s="19"/>
      <c r="E414" s="19"/>
      <c r="F414" s="19"/>
      <c r="G414" s="19"/>
      <c r="H414" s="20"/>
      <c r="I414" s="20"/>
      <c r="J414" s="20"/>
      <c r="K414" s="21"/>
      <c r="L414" s="2"/>
    </row>
    <row r="415" spans="1:12" x14ac:dyDescent="0.25">
      <c r="A415" s="58">
        <v>46039</v>
      </c>
      <c r="B415" s="18">
        <v>0.54166666666666663</v>
      </c>
      <c r="C415" s="19"/>
      <c r="D415" s="19"/>
      <c r="E415" s="19"/>
      <c r="F415" s="19"/>
      <c r="G415" s="19"/>
      <c r="H415" s="20"/>
      <c r="I415" s="20"/>
      <c r="J415" s="20"/>
      <c r="K415" s="21"/>
      <c r="L415" s="2"/>
    </row>
    <row r="416" spans="1:12" x14ac:dyDescent="0.25">
      <c r="A416" s="58">
        <v>46039</v>
      </c>
      <c r="B416" s="18">
        <v>0.58333333333333337</v>
      </c>
      <c r="C416" s="19"/>
      <c r="D416" s="19"/>
      <c r="E416" s="19"/>
      <c r="F416" s="19"/>
      <c r="G416" s="19"/>
      <c r="H416" s="20"/>
      <c r="I416" s="20"/>
      <c r="J416" s="20"/>
      <c r="K416" s="21"/>
      <c r="L416" s="2"/>
    </row>
    <row r="417" spans="1:12" x14ac:dyDescent="0.25">
      <c r="A417" s="58">
        <v>46039</v>
      </c>
      <c r="B417" s="18">
        <v>0.625</v>
      </c>
      <c r="C417" s="19"/>
      <c r="D417" s="19"/>
      <c r="E417" s="19"/>
      <c r="F417" s="19"/>
      <c r="G417" s="19"/>
      <c r="H417" s="20"/>
      <c r="I417" s="20"/>
      <c r="J417" s="20"/>
      <c r="K417" s="21"/>
      <c r="L417" s="2"/>
    </row>
    <row r="418" spans="1:12" x14ac:dyDescent="0.25">
      <c r="A418" s="58">
        <v>46039</v>
      </c>
      <c r="B418" s="18">
        <v>0.66666666666666663</v>
      </c>
      <c r="C418" s="19"/>
      <c r="D418" s="19"/>
      <c r="E418" s="19"/>
      <c r="F418" s="19"/>
      <c r="G418" s="19"/>
      <c r="H418" s="20"/>
      <c r="I418" s="20"/>
      <c r="J418" s="20"/>
      <c r="K418" s="21"/>
      <c r="L418" s="2"/>
    </row>
    <row r="419" spans="1:12" x14ac:dyDescent="0.25">
      <c r="A419" s="58">
        <v>46039</v>
      </c>
      <c r="B419" s="18">
        <v>0.70833333333333337</v>
      </c>
      <c r="C419" s="19"/>
      <c r="D419" s="19"/>
      <c r="E419" s="19"/>
      <c r="F419" s="19"/>
      <c r="G419" s="19"/>
      <c r="H419" s="20"/>
      <c r="I419" s="20"/>
      <c r="J419" s="20"/>
      <c r="K419" s="21"/>
      <c r="L419" s="2"/>
    </row>
    <row r="420" spans="1:12" x14ac:dyDescent="0.25">
      <c r="A420" s="58">
        <v>46039</v>
      </c>
      <c r="B420" s="18">
        <v>0.75</v>
      </c>
      <c r="C420" s="19"/>
      <c r="D420" s="19"/>
      <c r="E420" s="19"/>
      <c r="F420" s="19"/>
      <c r="G420" s="19"/>
      <c r="H420" s="20"/>
      <c r="I420" s="20"/>
      <c r="J420" s="20"/>
      <c r="K420" s="21"/>
      <c r="L420" s="2"/>
    </row>
    <row r="421" spans="1:12" x14ac:dyDescent="0.25">
      <c r="A421" s="58">
        <v>46039</v>
      </c>
      <c r="B421" s="18">
        <v>0.79166666666666663</v>
      </c>
      <c r="C421" s="19"/>
      <c r="D421" s="19"/>
      <c r="E421" s="19"/>
      <c r="F421" s="19"/>
      <c r="G421" s="19"/>
      <c r="H421" s="20"/>
      <c r="I421" s="20"/>
      <c r="J421" s="20"/>
      <c r="K421" s="21"/>
      <c r="L421" s="2"/>
    </row>
    <row r="422" spans="1:12" x14ac:dyDescent="0.25">
      <c r="A422" s="58">
        <v>46039</v>
      </c>
      <c r="B422" s="18">
        <v>0.83333333333333337</v>
      </c>
      <c r="C422" s="19"/>
      <c r="D422" s="19"/>
      <c r="E422" s="19"/>
      <c r="F422" s="19"/>
      <c r="G422" s="19"/>
      <c r="H422" s="20"/>
      <c r="I422" s="20"/>
      <c r="J422" s="20"/>
      <c r="K422" s="21"/>
      <c r="L422" s="2"/>
    </row>
    <row r="423" spans="1:12" x14ac:dyDescent="0.25">
      <c r="A423" s="58">
        <v>46039</v>
      </c>
      <c r="B423" s="18">
        <v>0.875</v>
      </c>
      <c r="C423" s="19"/>
      <c r="D423" s="19"/>
      <c r="E423" s="19"/>
      <c r="F423" s="19"/>
      <c r="G423" s="19"/>
      <c r="H423" s="20"/>
      <c r="I423" s="20"/>
      <c r="J423" s="20"/>
      <c r="K423" s="21"/>
      <c r="L423" s="2"/>
    </row>
    <row r="424" spans="1:12" x14ac:dyDescent="0.25">
      <c r="A424" s="58">
        <v>46039</v>
      </c>
      <c r="B424" s="18">
        <v>0.91666666666666663</v>
      </c>
      <c r="C424" s="19"/>
      <c r="D424" s="19"/>
      <c r="E424" s="19"/>
      <c r="F424" s="19"/>
      <c r="G424" s="19"/>
      <c r="H424" s="20"/>
      <c r="I424" s="20"/>
      <c r="J424" s="20"/>
      <c r="K424" s="21"/>
      <c r="L424" s="2"/>
    </row>
    <row r="425" spans="1:12" ht="15.75" thickBot="1" x14ac:dyDescent="0.3">
      <c r="A425" s="60">
        <v>46039</v>
      </c>
      <c r="B425" s="35">
        <v>0.95833333333333337</v>
      </c>
      <c r="C425" s="23"/>
      <c r="D425" s="23"/>
      <c r="E425" s="23"/>
      <c r="F425" s="23"/>
      <c r="G425" s="23"/>
      <c r="H425" s="24"/>
      <c r="I425" s="24"/>
      <c r="J425" s="24"/>
      <c r="K425" s="25"/>
      <c r="L425" s="2"/>
    </row>
    <row r="426" spans="1:12" ht="15.75" thickBot="1" x14ac:dyDescent="0.3">
      <c r="A426" s="26" t="s">
        <v>28</v>
      </c>
      <c r="B426" s="44"/>
      <c r="C426" s="45" t="str">
        <f t="shared" ref="C426:K426" si="16">IFERROR(ROUND(AVERAGE(C402:C425), 2), "")</f>
        <v/>
      </c>
      <c r="D426" s="45" t="str">
        <f t="shared" si="16"/>
        <v/>
      </c>
      <c r="E426" s="45" t="str">
        <f t="shared" si="16"/>
        <v/>
      </c>
      <c r="F426" s="45" t="str">
        <f t="shared" si="16"/>
        <v/>
      </c>
      <c r="G426" s="45" t="str">
        <f t="shared" si="16"/>
        <v/>
      </c>
      <c r="H426" s="45" t="str">
        <f t="shared" si="16"/>
        <v/>
      </c>
      <c r="I426" s="45" t="str">
        <f t="shared" si="16"/>
        <v/>
      </c>
      <c r="J426" s="45" t="str">
        <f t="shared" si="16"/>
        <v/>
      </c>
      <c r="K426" s="46" t="str">
        <f t="shared" si="16"/>
        <v/>
      </c>
      <c r="L426" s="7"/>
    </row>
    <row r="427" spans="1:12" x14ac:dyDescent="0.25">
      <c r="A427" s="57">
        <v>46040</v>
      </c>
      <c r="B427" s="14">
        <v>0</v>
      </c>
      <c r="C427" s="15"/>
      <c r="D427" s="15"/>
      <c r="E427" s="15"/>
      <c r="F427" s="15"/>
      <c r="G427" s="16"/>
      <c r="H427" s="16"/>
      <c r="I427" s="16"/>
      <c r="J427" s="16"/>
      <c r="K427" s="31"/>
      <c r="L427" s="2"/>
    </row>
    <row r="428" spans="1:12" x14ac:dyDescent="0.25">
      <c r="A428" s="58">
        <v>46040</v>
      </c>
      <c r="B428" s="18">
        <v>4.1666666666666664E-2</v>
      </c>
      <c r="C428" s="19"/>
      <c r="D428" s="19"/>
      <c r="E428" s="19"/>
      <c r="F428" s="19"/>
      <c r="G428" s="20"/>
      <c r="H428" s="20"/>
      <c r="I428" s="20"/>
      <c r="J428" s="20"/>
      <c r="K428" s="32"/>
      <c r="L428" s="2"/>
    </row>
    <row r="429" spans="1:12" x14ac:dyDescent="0.25">
      <c r="A429" s="58">
        <v>46040</v>
      </c>
      <c r="B429" s="18">
        <v>8.3333333333333329E-2</v>
      </c>
      <c r="C429" s="19"/>
      <c r="D429" s="19"/>
      <c r="E429" s="19"/>
      <c r="F429" s="19"/>
      <c r="G429" s="20"/>
      <c r="H429" s="20"/>
      <c r="I429" s="20"/>
      <c r="J429" s="20"/>
      <c r="K429" s="32"/>
      <c r="L429" s="2"/>
    </row>
    <row r="430" spans="1:12" x14ac:dyDescent="0.25">
      <c r="A430" s="58">
        <v>46040</v>
      </c>
      <c r="B430" s="18">
        <v>0.125</v>
      </c>
      <c r="C430" s="19"/>
      <c r="D430" s="19"/>
      <c r="E430" s="19"/>
      <c r="F430" s="19"/>
      <c r="G430" s="20"/>
      <c r="H430" s="20"/>
      <c r="I430" s="20"/>
      <c r="J430" s="20"/>
      <c r="K430" s="32"/>
      <c r="L430" s="2"/>
    </row>
    <row r="431" spans="1:12" x14ac:dyDescent="0.25">
      <c r="A431" s="58">
        <v>46040</v>
      </c>
      <c r="B431" s="18">
        <v>0.16666666666666666</v>
      </c>
      <c r="C431" s="19"/>
      <c r="D431" s="19"/>
      <c r="E431" s="19"/>
      <c r="F431" s="19"/>
      <c r="G431" s="20"/>
      <c r="H431" s="20"/>
      <c r="I431" s="20"/>
      <c r="J431" s="20"/>
      <c r="K431" s="32"/>
      <c r="L431" s="2"/>
    </row>
    <row r="432" spans="1:12" x14ac:dyDescent="0.25">
      <c r="A432" s="58">
        <v>46040</v>
      </c>
      <c r="B432" s="18">
        <v>0.20833333333333334</v>
      </c>
      <c r="C432" s="19"/>
      <c r="D432" s="19"/>
      <c r="E432" s="19"/>
      <c r="F432" s="19"/>
      <c r="G432" s="20"/>
      <c r="H432" s="20"/>
      <c r="I432" s="20"/>
      <c r="J432" s="20"/>
      <c r="K432" s="32"/>
      <c r="L432" s="2"/>
    </row>
    <row r="433" spans="1:12" x14ac:dyDescent="0.25">
      <c r="A433" s="58">
        <v>46040</v>
      </c>
      <c r="B433" s="18">
        <v>0.25</v>
      </c>
      <c r="C433" s="19"/>
      <c r="D433" s="19"/>
      <c r="E433" s="19"/>
      <c r="F433" s="19"/>
      <c r="G433" s="20"/>
      <c r="H433" s="20"/>
      <c r="I433" s="20"/>
      <c r="J433" s="20"/>
      <c r="K433" s="32"/>
      <c r="L433" s="2"/>
    </row>
    <row r="434" spans="1:12" x14ac:dyDescent="0.25">
      <c r="A434" s="58">
        <v>46040</v>
      </c>
      <c r="B434" s="18">
        <v>0.29166666666666669</v>
      </c>
      <c r="C434" s="19"/>
      <c r="D434" s="19"/>
      <c r="E434" s="19"/>
      <c r="F434" s="19"/>
      <c r="G434" s="20"/>
      <c r="H434" s="20"/>
      <c r="I434" s="20"/>
      <c r="J434" s="20"/>
      <c r="K434" s="32"/>
      <c r="L434" s="2"/>
    </row>
    <row r="435" spans="1:12" x14ac:dyDescent="0.25">
      <c r="A435" s="58">
        <v>46040</v>
      </c>
      <c r="B435" s="18">
        <v>0.33333333333333331</v>
      </c>
      <c r="C435" s="20"/>
      <c r="D435" s="20"/>
      <c r="E435" s="20"/>
      <c r="F435" s="20"/>
      <c r="G435" s="20"/>
      <c r="H435" s="20"/>
      <c r="I435" s="20"/>
      <c r="J435" s="20"/>
      <c r="K435" s="32"/>
      <c r="L435" s="1"/>
    </row>
    <row r="436" spans="1:12" x14ac:dyDescent="0.25">
      <c r="A436" s="58">
        <v>46040</v>
      </c>
      <c r="B436" s="18">
        <v>0.375</v>
      </c>
      <c r="C436" s="20"/>
      <c r="D436" s="20"/>
      <c r="E436" s="20"/>
      <c r="F436" s="20"/>
      <c r="G436" s="20"/>
      <c r="H436" s="20"/>
      <c r="I436" s="20"/>
      <c r="J436" s="20"/>
      <c r="K436" s="32"/>
      <c r="L436" s="1"/>
    </row>
    <row r="437" spans="1:12" x14ac:dyDescent="0.25">
      <c r="A437" s="58">
        <v>46040</v>
      </c>
      <c r="B437" s="18">
        <v>0.41666666666666669</v>
      </c>
      <c r="C437" s="20"/>
      <c r="D437" s="20"/>
      <c r="E437" s="20"/>
      <c r="F437" s="20"/>
      <c r="G437" s="20"/>
      <c r="H437" s="20"/>
      <c r="I437" s="20"/>
      <c r="J437" s="20"/>
      <c r="K437" s="32"/>
      <c r="L437" s="1"/>
    </row>
    <row r="438" spans="1:12" x14ac:dyDescent="0.25">
      <c r="A438" s="58">
        <v>46040</v>
      </c>
      <c r="B438" s="18">
        <v>0.45833333333333331</v>
      </c>
      <c r="C438" s="20"/>
      <c r="D438" s="20"/>
      <c r="E438" s="20"/>
      <c r="F438" s="20"/>
      <c r="G438" s="20"/>
      <c r="H438" s="20"/>
      <c r="I438" s="20"/>
      <c r="J438" s="20"/>
      <c r="K438" s="32"/>
      <c r="L438" s="1"/>
    </row>
    <row r="439" spans="1:12" x14ac:dyDescent="0.25">
      <c r="A439" s="58">
        <v>46040</v>
      </c>
      <c r="B439" s="18">
        <v>0.5</v>
      </c>
      <c r="C439" s="20"/>
      <c r="D439" s="20"/>
      <c r="E439" s="20"/>
      <c r="F439" s="20"/>
      <c r="G439" s="20"/>
      <c r="H439" s="20"/>
      <c r="I439" s="20"/>
      <c r="J439" s="20"/>
      <c r="K439" s="32"/>
      <c r="L439" s="1"/>
    </row>
    <row r="440" spans="1:12" x14ac:dyDescent="0.25">
      <c r="A440" s="58">
        <v>46040</v>
      </c>
      <c r="B440" s="18">
        <v>0.54166666666666663</v>
      </c>
      <c r="C440" s="20"/>
      <c r="D440" s="20"/>
      <c r="E440" s="20"/>
      <c r="F440" s="20"/>
      <c r="G440" s="20"/>
      <c r="H440" s="20"/>
      <c r="I440" s="20"/>
      <c r="J440" s="20"/>
      <c r="K440" s="32"/>
      <c r="L440" s="1"/>
    </row>
    <row r="441" spans="1:12" x14ac:dyDescent="0.25">
      <c r="A441" s="58">
        <v>46040</v>
      </c>
      <c r="B441" s="18">
        <v>0.58333333333333337</v>
      </c>
      <c r="C441" s="20"/>
      <c r="D441" s="20"/>
      <c r="E441" s="20"/>
      <c r="F441" s="20"/>
      <c r="G441" s="20"/>
      <c r="H441" s="20"/>
      <c r="I441" s="20"/>
      <c r="J441" s="20"/>
      <c r="K441" s="32"/>
      <c r="L441" s="1"/>
    </row>
    <row r="442" spans="1:12" x14ac:dyDescent="0.25">
      <c r="A442" s="58">
        <v>46040</v>
      </c>
      <c r="B442" s="18">
        <v>0.625</v>
      </c>
      <c r="C442" s="20"/>
      <c r="D442" s="20"/>
      <c r="E442" s="20"/>
      <c r="F442" s="20"/>
      <c r="G442" s="20"/>
      <c r="H442" s="20"/>
      <c r="I442" s="20"/>
      <c r="J442" s="20"/>
      <c r="K442" s="32"/>
      <c r="L442" s="1"/>
    </row>
    <row r="443" spans="1:12" x14ac:dyDescent="0.25">
      <c r="A443" s="58">
        <v>46040</v>
      </c>
      <c r="B443" s="18">
        <v>0.66666666666666663</v>
      </c>
      <c r="C443" s="20"/>
      <c r="D443" s="20"/>
      <c r="E443" s="20"/>
      <c r="F443" s="20"/>
      <c r="G443" s="20"/>
      <c r="H443" s="20"/>
      <c r="I443" s="20"/>
      <c r="J443" s="20"/>
      <c r="K443" s="32"/>
      <c r="L443" s="1"/>
    </row>
    <row r="444" spans="1:12" x14ac:dyDescent="0.25">
      <c r="A444" s="58">
        <v>46040</v>
      </c>
      <c r="B444" s="18">
        <v>0.70833333333333337</v>
      </c>
      <c r="C444" s="20"/>
      <c r="D444" s="20"/>
      <c r="E444" s="20"/>
      <c r="F444" s="20"/>
      <c r="G444" s="20"/>
      <c r="H444" s="20"/>
      <c r="I444" s="20"/>
      <c r="J444" s="20"/>
      <c r="K444" s="32"/>
      <c r="L444" s="1"/>
    </row>
    <row r="445" spans="1:12" x14ac:dyDescent="0.25">
      <c r="A445" s="58">
        <v>46040</v>
      </c>
      <c r="B445" s="18">
        <v>0.75</v>
      </c>
      <c r="C445" s="20"/>
      <c r="D445" s="20"/>
      <c r="E445" s="20"/>
      <c r="F445" s="20"/>
      <c r="G445" s="20"/>
      <c r="H445" s="20"/>
      <c r="I445" s="20"/>
      <c r="J445" s="20"/>
      <c r="K445" s="32"/>
      <c r="L445" s="1"/>
    </row>
    <row r="446" spans="1:12" x14ac:dyDescent="0.25">
      <c r="A446" s="58">
        <v>46040</v>
      </c>
      <c r="B446" s="18">
        <v>0.79166666666666663</v>
      </c>
      <c r="C446" s="20"/>
      <c r="D446" s="20"/>
      <c r="E446" s="20"/>
      <c r="F446" s="20"/>
      <c r="G446" s="20"/>
      <c r="H446" s="20"/>
      <c r="I446" s="20"/>
      <c r="J446" s="20"/>
      <c r="K446" s="32"/>
      <c r="L446" s="1"/>
    </row>
    <row r="447" spans="1:12" x14ac:dyDescent="0.25">
      <c r="A447" s="58">
        <v>46040</v>
      </c>
      <c r="B447" s="18">
        <v>0.83333333333333337</v>
      </c>
      <c r="C447" s="20"/>
      <c r="D447" s="20"/>
      <c r="E447" s="20"/>
      <c r="F447" s="20"/>
      <c r="G447" s="20"/>
      <c r="H447" s="20"/>
      <c r="I447" s="20"/>
      <c r="J447" s="20"/>
      <c r="K447" s="32"/>
      <c r="L447" s="1"/>
    </row>
    <row r="448" spans="1:12" x14ac:dyDescent="0.25">
      <c r="A448" s="58">
        <v>46040</v>
      </c>
      <c r="B448" s="18">
        <v>0.875</v>
      </c>
      <c r="C448" s="20"/>
      <c r="D448" s="20"/>
      <c r="E448" s="20"/>
      <c r="F448" s="20"/>
      <c r="G448" s="20"/>
      <c r="H448" s="20"/>
      <c r="I448" s="20"/>
      <c r="J448" s="20"/>
      <c r="K448" s="32"/>
      <c r="L448" s="1"/>
    </row>
    <row r="449" spans="1:12" x14ac:dyDescent="0.25">
      <c r="A449" s="58">
        <v>46040</v>
      </c>
      <c r="B449" s="18">
        <v>0.91666666666666663</v>
      </c>
      <c r="C449" s="20"/>
      <c r="D449" s="20"/>
      <c r="E449" s="20"/>
      <c r="F449" s="20"/>
      <c r="G449" s="20"/>
      <c r="H449" s="20"/>
      <c r="I449" s="20"/>
      <c r="J449" s="20"/>
      <c r="K449" s="32"/>
      <c r="L449" s="1"/>
    </row>
    <row r="450" spans="1:12" ht="15.75" thickBot="1" x14ac:dyDescent="0.3">
      <c r="A450" s="60">
        <v>46040</v>
      </c>
      <c r="B450" s="35">
        <v>0.95833333333333337</v>
      </c>
      <c r="C450" s="24"/>
      <c r="D450" s="24"/>
      <c r="E450" s="24"/>
      <c r="F450" s="24"/>
      <c r="G450" s="24"/>
      <c r="H450" s="24"/>
      <c r="I450" s="24"/>
      <c r="J450" s="24"/>
      <c r="K450" s="36"/>
      <c r="L450" s="1"/>
    </row>
    <row r="451" spans="1:12" ht="15.75" thickBot="1" x14ac:dyDescent="0.3">
      <c r="A451" s="26" t="s">
        <v>29</v>
      </c>
      <c r="B451" s="44"/>
      <c r="C451" s="45" t="str">
        <f t="shared" ref="C451:K451" si="17">IFERROR(ROUND(AVERAGE(C427:C450), 2), "")</f>
        <v/>
      </c>
      <c r="D451" s="45" t="str">
        <f t="shared" si="17"/>
        <v/>
      </c>
      <c r="E451" s="45" t="str">
        <f t="shared" si="17"/>
        <v/>
      </c>
      <c r="F451" s="45" t="str">
        <f t="shared" si="17"/>
        <v/>
      </c>
      <c r="G451" s="45" t="str">
        <f t="shared" si="17"/>
        <v/>
      </c>
      <c r="H451" s="45" t="str">
        <f t="shared" si="17"/>
        <v/>
      </c>
      <c r="I451" s="45" t="str">
        <f t="shared" si="17"/>
        <v/>
      </c>
      <c r="J451" s="45" t="str">
        <f t="shared" si="17"/>
        <v/>
      </c>
      <c r="K451" s="46" t="str">
        <f t="shared" si="17"/>
        <v/>
      </c>
      <c r="L451" s="7"/>
    </row>
    <row r="452" spans="1:12" x14ac:dyDescent="0.25">
      <c r="A452" s="57">
        <v>46041</v>
      </c>
      <c r="B452" s="14">
        <v>0</v>
      </c>
      <c r="C452" s="16"/>
      <c r="D452" s="16"/>
      <c r="E452" s="16"/>
      <c r="F452" s="16"/>
      <c r="G452" s="16"/>
      <c r="H452" s="15"/>
      <c r="I452" s="16"/>
      <c r="J452" s="16"/>
      <c r="K452" s="31"/>
      <c r="L452" s="1"/>
    </row>
    <row r="453" spans="1:12" x14ac:dyDescent="0.25">
      <c r="A453" s="58">
        <v>46041</v>
      </c>
      <c r="B453" s="18">
        <v>4.1666666666666664E-2</v>
      </c>
      <c r="C453" s="20"/>
      <c r="D453" s="20"/>
      <c r="E453" s="20"/>
      <c r="F453" s="20"/>
      <c r="G453" s="20"/>
      <c r="H453" s="19"/>
      <c r="I453" s="20"/>
      <c r="J453" s="20"/>
      <c r="K453" s="32"/>
      <c r="L453" s="1"/>
    </row>
    <row r="454" spans="1:12" x14ac:dyDescent="0.25">
      <c r="A454" s="58">
        <v>46041</v>
      </c>
      <c r="B454" s="18">
        <v>8.3333333333333329E-2</v>
      </c>
      <c r="C454" s="20"/>
      <c r="D454" s="20"/>
      <c r="E454" s="20"/>
      <c r="F454" s="20"/>
      <c r="G454" s="20"/>
      <c r="H454" s="19"/>
      <c r="I454" s="20"/>
      <c r="J454" s="20"/>
      <c r="K454" s="32"/>
      <c r="L454" s="1"/>
    </row>
    <row r="455" spans="1:12" x14ac:dyDescent="0.25">
      <c r="A455" s="58">
        <v>46041</v>
      </c>
      <c r="B455" s="18">
        <v>0.125</v>
      </c>
      <c r="C455" s="20"/>
      <c r="D455" s="20"/>
      <c r="E455" s="20"/>
      <c r="F455" s="20"/>
      <c r="G455" s="20"/>
      <c r="H455" s="19"/>
      <c r="I455" s="20"/>
      <c r="J455" s="20"/>
      <c r="K455" s="32"/>
      <c r="L455" s="1"/>
    </row>
    <row r="456" spans="1:12" x14ac:dyDescent="0.25">
      <c r="A456" s="58">
        <v>46041</v>
      </c>
      <c r="B456" s="18">
        <v>0.16666666666666666</v>
      </c>
      <c r="C456" s="20"/>
      <c r="D456" s="20"/>
      <c r="E456" s="20"/>
      <c r="F456" s="20"/>
      <c r="G456" s="20"/>
      <c r="H456" s="19"/>
      <c r="I456" s="20"/>
      <c r="J456" s="20"/>
      <c r="K456" s="32"/>
      <c r="L456" s="1"/>
    </row>
    <row r="457" spans="1:12" x14ac:dyDescent="0.25">
      <c r="A457" s="58">
        <v>46041</v>
      </c>
      <c r="B457" s="18">
        <v>0.20833333333333334</v>
      </c>
      <c r="C457" s="20"/>
      <c r="D457" s="20"/>
      <c r="E457" s="20"/>
      <c r="F457" s="20"/>
      <c r="G457" s="20"/>
      <c r="H457" s="19"/>
      <c r="I457" s="20"/>
      <c r="J457" s="20"/>
      <c r="K457" s="32"/>
      <c r="L457" s="1"/>
    </row>
    <row r="458" spans="1:12" x14ac:dyDescent="0.25">
      <c r="A458" s="58">
        <v>46041</v>
      </c>
      <c r="B458" s="18">
        <v>0.25</v>
      </c>
      <c r="C458" s="20"/>
      <c r="D458" s="20"/>
      <c r="E458" s="20"/>
      <c r="F458" s="20"/>
      <c r="G458" s="20"/>
      <c r="H458" s="19"/>
      <c r="I458" s="20"/>
      <c r="J458" s="20"/>
      <c r="K458" s="32"/>
      <c r="L458" s="1"/>
    </row>
    <row r="459" spans="1:12" x14ac:dyDescent="0.25">
      <c r="A459" s="58">
        <v>46041</v>
      </c>
      <c r="B459" s="18">
        <v>0.29166666666666669</v>
      </c>
      <c r="C459" s="20"/>
      <c r="D459" s="20"/>
      <c r="E459" s="20"/>
      <c r="F459" s="20"/>
      <c r="G459" s="20"/>
      <c r="H459" s="19"/>
      <c r="I459" s="20"/>
      <c r="J459" s="20"/>
      <c r="K459" s="32"/>
      <c r="L459" s="1"/>
    </row>
    <row r="460" spans="1:12" x14ac:dyDescent="0.25">
      <c r="A460" s="58">
        <v>46041</v>
      </c>
      <c r="B460" s="18">
        <v>0.33333333333333331</v>
      </c>
      <c r="C460" s="20"/>
      <c r="D460" s="20"/>
      <c r="E460" s="20"/>
      <c r="F460" s="20"/>
      <c r="G460" s="20"/>
      <c r="H460" s="19"/>
      <c r="I460" s="20"/>
      <c r="J460" s="20"/>
      <c r="K460" s="32"/>
      <c r="L460" s="1"/>
    </row>
    <row r="461" spans="1:12" x14ac:dyDescent="0.25">
      <c r="A461" s="58">
        <v>46041</v>
      </c>
      <c r="B461" s="18">
        <v>0.375</v>
      </c>
      <c r="C461" s="20"/>
      <c r="D461" s="20"/>
      <c r="E461" s="20"/>
      <c r="F461" s="20"/>
      <c r="G461" s="20"/>
      <c r="H461" s="19"/>
      <c r="I461" s="20"/>
      <c r="J461" s="20"/>
      <c r="K461" s="32"/>
      <c r="L461" s="1"/>
    </row>
    <row r="462" spans="1:12" x14ac:dyDescent="0.25">
      <c r="A462" s="58">
        <v>46041</v>
      </c>
      <c r="B462" s="18">
        <v>0.41666666666666669</v>
      </c>
      <c r="C462" s="20"/>
      <c r="D462" s="20"/>
      <c r="E462" s="20"/>
      <c r="F462" s="20"/>
      <c r="G462" s="20"/>
      <c r="H462" s="19"/>
      <c r="I462" s="20"/>
      <c r="J462" s="20"/>
      <c r="K462" s="32"/>
      <c r="L462" s="1"/>
    </row>
    <row r="463" spans="1:12" x14ac:dyDescent="0.25">
      <c r="A463" s="58">
        <v>46041</v>
      </c>
      <c r="B463" s="18">
        <v>0.45833333333333331</v>
      </c>
      <c r="C463" s="20"/>
      <c r="D463" s="20"/>
      <c r="E463" s="20"/>
      <c r="F463" s="20"/>
      <c r="G463" s="20"/>
      <c r="H463" s="19"/>
      <c r="I463" s="20"/>
      <c r="J463" s="20"/>
      <c r="K463" s="32"/>
      <c r="L463" s="1"/>
    </row>
    <row r="464" spans="1:12" x14ac:dyDescent="0.25">
      <c r="A464" s="58">
        <v>46041</v>
      </c>
      <c r="B464" s="18">
        <v>0.5</v>
      </c>
      <c r="C464" s="19"/>
      <c r="D464" s="19"/>
      <c r="E464" s="19"/>
      <c r="F464" s="19"/>
      <c r="G464" s="19"/>
      <c r="H464" s="19"/>
      <c r="I464" s="19"/>
      <c r="J464" s="19"/>
      <c r="K464" s="32"/>
      <c r="L464" s="1"/>
    </row>
    <row r="465" spans="1:12" x14ac:dyDescent="0.25">
      <c r="A465" s="58">
        <v>46041</v>
      </c>
      <c r="B465" s="18">
        <v>0.54166666666666663</v>
      </c>
      <c r="C465" s="19"/>
      <c r="D465" s="19"/>
      <c r="E465" s="19"/>
      <c r="F465" s="19"/>
      <c r="G465" s="19"/>
      <c r="H465" s="19"/>
      <c r="I465" s="19"/>
      <c r="J465" s="19"/>
      <c r="K465" s="32"/>
      <c r="L465" s="1"/>
    </row>
    <row r="466" spans="1:12" x14ac:dyDescent="0.25">
      <c r="A466" s="58">
        <v>46041</v>
      </c>
      <c r="B466" s="18">
        <v>0.58333333333333337</v>
      </c>
      <c r="C466" s="19"/>
      <c r="D466" s="19"/>
      <c r="E466" s="19"/>
      <c r="F466" s="19"/>
      <c r="G466" s="19"/>
      <c r="H466" s="19"/>
      <c r="I466" s="19"/>
      <c r="J466" s="19"/>
      <c r="K466" s="32"/>
      <c r="L466" s="1"/>
    </row>
    <row r="467" spans="1:12" x14ac:dyDescent="0.25">
      <c r="A467" s="58">
        <v>46041</v>
      </c>
      <c r="B467" s="18">
        <v>0.625</v>
      </c>
      <c r="C467" s="19"/>
      <c r="D467" s="19"/>
      <c r="E467" s="19"/>
      <c r="F467" s="19"/>
      <c r="G467" s="19"/>
      <c r="H467" s="19"/>
      <c r="I467" s="19"/>
      <c r="J467" s="19"/>
      <c r="K467" s="32"/>
      <c r="L467" s="1"/>
    </row>
    <row r="468" spans="1:12" x14ac:dyDescent="0.25">
      <c r="A468" s="58">
        <v>46041</v>
      </c>
      <c r="B468" s="18">
        <v>0.66666666666666663</v>
      </c>
      <c r="C468" s="19"/>
      <c r="D468" s="19"/>
      <c r="E468" s="19"/>
      <c r="F468" s="19"/>
      <c r="G468" s="19"/>
      <c r="H468" s="19"/>
      <c r="I468" s="19"/>
      <c r="J468" s="19"/>
      <c r="K468" s="32"/>
      <c r="L468" s="1"/>
    </row>
    <row r="469" spans="1:12" x14ac:dyDescent="0.25">
      <c r="A469" s="58">
        <v>46041</v>
      </c>
      <c r="B469" s="18">
        <v>0.70833333333333337</v>
      </c>
      <c r="C469" s="19"/>
      <c r="D469" s="19"/>
      <c r="E469" s="19"/>
      <c r="F469" s="19"/>
      <c r="G469" s="19"/>
      <c r="H469" s="19"/>
      <c r="I469" s="19"/>
      <c r="J469" s="19"/>
      <c r="K469" s="32"/>
      <c r="L469" s="1"/>
    </row>
    <row r="470" spans="1:12" x14ac:dyDescent="0.25">
      <c r="A470" s="58">
        <v>46041</v>
      </c>
      <c r="B470" s="18">
        <v>0.75</v>
      </c>
      <c r="C470" s="19"/>
      <c r="D470" s="19"/>
      <c r="E470" s="19"/>
      <c r="F470" s="19"/>
      <c r="G470" s="19"/>
      <c r="H470" s="19"/>
      <c r="I470" s="19"/>
      <c r="J470" s="19"/>
      <c r="K470" s="32"/>
      <c r="L470" s="1"/>
    </row>
    <row r="471" spans="1:12" x14ac:dyDescent="0.25">
      <c r="A471" s="58">
        <v>46041</v>
      </c>
      <c r="B471" s="18">
        <v>0.79166666666666663</v>
      </c>
      <c r="C471" s="19"/>
      <c r="D471" s="19"/>
      <c r="E471" s="19"/>
      <c r="F471" s="19"/>
      <c r="G471" s="19"/>
      <c r="H471" s="19"/>
      <c r="I471" s="19"/>
      <c r="J471" s="19"/>
      <c r="K471" s="32"/>
      <c r="L471" s="1"/>
    </row>
    <row r="472" spans="1:12" x14ac:dyDescent="0.25">
      <c r="A472" s="58">
        <v>46041</v>
      </c>
      <c r="B472" s="18">
        <v>0.83333333333333337</v>
      </c>
      <c r="C472" s="19"/>
      <c r="D472" s="19"/>
      <c r="E472" s="19"/>
      <c r="F472" s="19"/>
      <c r="G472" s="19"/>
      <c r="H472" s="19"/>
      <c r="I472" s="19"/>
      <c r="J472" s="19"/>
      <c r="K472" s="32"/>
      <c r="L472" s="1"/>
    </row>
    <row r="473" spans="1:12" x14ac:dyDescent="0.25">
      <c r="A473" s="58">
        <v>46041</v>
      </c>
      <c r="B473" s="18">
        <v>0.875</v>
      </c>
      <c r="C473" s="19"/>
      <c r="D473" s="19"/>
      <c r="E473" s="19"/>
      <c r="F473" s="19"/>
      <c r="G473" s="19"/>
      <c r="H473" s="19"/>
      <c r="I473" s="19"/>
      <c r="J473" s="19"/>
      <c r="K473" s="32"/>
      <c r="L473" s="1"/>
    </row>
    <row r="474" spans="1:12" x14ac:dyDescent="0.25">
      <c r="A474" s="58">
        <v>46041</v>
      </c>
      <c r="B474" s="18">
        <v>0.91666666666666663</v>
      </c>
      <c r="C474" s="19"/>
      <c r="D474" s="19"/>
      <c r="E474" s="19"/>
      <c r="F474" s="19"/>
      <c r="G474" s="19"/>
      <c r="H474" s="19"/>
      <c r="I474" s="19"/>
      <c r="J474" s="19"/>
      <c r="K474" s="32"/>
      <c r="L474" s="1"/>
    </row>
    <row r="475" spans="1:12" ht="15.75" thickBot="1" x14ac:dyDescent="0.3">
      <c r="A475" s="60">
        <v>46041</v>
      </c>
      <c r="B475" s="35">
        <v>0.95833333333333337</v>
      </c>
      <c r="C475" s="23"/>
      <c r="D475" s="23"/>
      <c r="E475" s="23"/>
      <c r="F475" s="23"/>
      <c r="G475" s="23"/>
      <c r="H475" s="23"/>
      <c r="I475" s="23"/>
      <c r="J475" s="23"/>
      <c r="K475" s="36"/>
      <c r="L475" s="1"/>
    </row>
    <row r="476" spans="1:12" ht="15.75" thickBot="1" x14ac:dyDescent="0.3">
      <c r="A476" s="26" t="s">
        <v>30</v>
      </c>
      <c r="B476" s="44"/>
      <c r="C476" s="45" t="str">
        <f t="shared" ref="C476:K476" si="18">IFERROR(ROUND(AVERAGE(C452:C475), 2), "")</f>
        <v/>
      </c>
      <c r="D476" s="45" t="str">
        <f t="shared" si="18"/>
        <v/>
      </c>
      <c r="E476" s="45" t="str">
        <f t="shared" si="18"/>
        <v/>
      </c>
      <c r="F476" s="45" t="str">
        <f t="shared" si="18"/>
        <v/>
      </c>
      <c r="G476" s="45" t="str">
        <f t="shared" si="18"/>
        <v/>
      </c>
      <c r="H476" s="45" t="str">
        <f t="shared" si="18"/>
        <v/>
      </c>
      <c r="I476" s="45" t="str">
        <f t="shared" si="18"/>
        <v/>
      </c>
      <c r="J476" s="45" t="str">
        <f t="shared" si="18"/>
        <v/>
      </c>
      <c r="K476" s="46" t="str">
        <f t="shared" si="18"/>
        <v/>
      </c>
      <c r="L476" s="7"/>
    </row>
    <row r="477" spans="1:12" x14ac:dyDescent="0.25">
      <c r="A477" s="57">
        <v>46042</v>
      </c>
      <c r="B477" s="14">
        <v>0</v>
      </c>
      <c r="C477" s="15"/>
      <c r="D477" s="15"/>
      <c r="E477" s="15"/>
      <c r="F477" s="15"/>
      <c r="G477" s="15"/>
      <c r="H477" s="16"/>
      <c r="I477" s="16"/>
      <c r="J477" s="16"/>
      <c r="K477" s="17"/>
      <c r="L477" s="2"/>
    </row>
    <row r="478" spans="1:12" x14ac:dyDescent="0.25">
      <c r="A478" s="58">
        <v>46042</v>
      </c>
      <c r="B478" s="18">
        <v>4.1666666666666664E-2</v>
      </c>
      <c r="C478" s="19"/>
      <c r="D478" s="19"/>
      <c r="E478" s="19"/>
      <c r="F478" s="19"/>
      <c r="G478" s="19"/>
      <c r="H478" s="20"/>
      <c r="I478" s="20"/>
      <c r="J478" s="20"/>
      <c r="K478" s="21"/>
      <c r="L478" s="2"/>
    </row>
    <row r="479" spans="1:12" x14ac:dyDescent="0.25">
      <c r="A479" s="58">
        <v>46042</v>
      </c>
      <c r="B479" s="18">
        <v>8.3333333333333329E-2</v>
      </c>
      <c r="C479" s="19"/>
      <c r="D479" s="19"/>
      <c r="E479" s="19"/>
      <c r="F479" s="19"/>
      <c r="G479" s="19"/>
      <c r="H479" s="20"/>
      <c r="I479" s="20"/>
      <c r="J479" s="20"/>
      <c r="K479" s="21"/>
      <c r="L479" s="2"/>
    </row>
    <row r="480" spans="1:12" x14ac:dyDescent="0.25">
      <c r="A480" s="58">
        <v>46042</v>
      </c>
      <c r="B480" s="18">
        <v>0.125</v>
      </c>
      <c r="C480" s="19"/>
      <c r="D480" s="19"/>
      <c r="E480" s="19"/>
      <c r="F480" s="19"/>
      <c r="G480" s="19"/>
      <c r="H480" s="20"/>
      <c r="I480" s="20"/>
      <c r="J480" s="20"/>
      <c r="K480" s="21"/>
      <c r="L480" s="2"/>
    </row>
    <row r="481" spans="1:12" x14ac:dyDescent="0.25">
      <c r="A481" s="58">
        <v>46042</v>
      </c>
      <c r="B481" s="18">
        <v>0.16666666666666666</v>
      </c>
      <c r="C481" s="19"/>
      <c r="D481" s="19"/>
      <c r="E481" s="19"/>
      <c r="F481" s="19"/>
      <c r="G481" s="19"/>
      <c r="H481" s="20"/>
      <c r="I481" s="20"/>
      <c r="J481" s="20"/>
      <c r="K481" s="21"/>
      <c r="L481" s="2"/>
    </row>
    <row r="482" spans="1:12" x14ac:dyDescent="0.25">
      <c r="A482" s="58">
        <v>46042</v>
      </c>
      <c r="B482" s="18">
        <v>0.20833333333333334</v>
      </c>
      <c r="C482" s="19"/>
      <c r="D482" s="19"/>
      <c r="E482" s="19"/>
      <c r="F482" s="19"/>
      <c r="G482" s="19"/>
      <c r="H482" s="20"/>
      <c r="I482" s="20"/>
      <c r="J482" s="20"/>
      <c r="K482" s="21"/>
      <c r="L482" s="2"/>
    </row>
    <row r="483" spans="1:12" x14ac:dyDescent="0.25">
      <c r="A483" s="58">
        <v>46042</v>
      </c>
      <c r="B483" s="18">
        <v>0.25</v>
      </c>
      <c r="C483" s="19"/>
      <c r="D483" s="19"/>
      <c r="E483" s="19"/>
      <c r="F483" s="19"/>
      <c r="G483" s="19"/>
      <c r="H483" s="20"/>
      <c r="I483" s="20"/>
      <c r="J483" s="20"/>
      <c r="K483" s="21"/>
      <c r="L483" s="2"/>
    </row>
    <row r="484" spans="1:12" x14ac:dyDescent="0.25">
      <c r="A484" s="58">
        <v>46042</v>
      </c>
      <c r="B484" s="18">
        <v>0.29166666666666669</v>
      </c>
      <c r="C484" s="19"/>
      <c r="D484" s="19"/>
      <c r="E484" s="19"/>
      <c r="F484" s="19"/>
      <c r="G484" s="19"/>
      <c r="H484" s="20"/>
      <c r="I484" s="20"/>
      <c r="J484" s="20"/>
      <c r="K484" s="21"/>
      <c r="L484" s="2"/>
    </row>
    <row r="485" spans="1:12" x14ac:dyDescent="0.25">
      <c r="A485" s="58">
        <v>46042</v>
      </c>
      <c r="B485" s="18">
        <v>0.33333333333333331</v>
      </c>
      <c r="C485" s="19"/>
      <c r="D485" s="19"/>
      <c r="E485" s="19"/>
      <c r="F485" s="19"/>
      <c r="G485" s="19"/>
      <c r="H485" s="20"/>
      <c r="I485" s="20"/>
      <c r="J485" s="20"/>
      <c r="K485" s="21"/>
      <c r="L485" s="2"/>
    </row>
    <row r="486" spans="1:12" x14ac:dyDescent="0.25">
      <c r="A486" s="58">
        <v>46042</v>
      </c>
      <c r="B486" s="18">
        <v>0.375</v>
      </c>
      <c r="C486" s="19"/>
      <c r="D486" s="19"/>
      <c r="E486" s="19"/>
      <c r="F486" s="19"/>
      <c r="G486" s="19"/>
      <c r="H486" s="20"/>
      <c r="I486" s="20"/>
      <c r="J486" s="20"/>
      <c r="K486" s="21"/>
      <c r="L486" s="2"/>
    </row>
    <row r="487" spans="1:12" x14ac:dyDescent="0.25">
      <c r="A487" s="58">
        <v>46042</v>
      </c>
      <c r="B487" s="18">
        <v>0.41666666666666669</v>
      </c>
      <c r="C487" s="19"/>
      <c r="D487" s="19"/>
      <c r="E487" s="19"/>
      <c r="F487" s="19"/>
      <c r="G487" s="19"/>
      <c r="H487" s="20"/>
      <c r="I487" s="20"/>
      <c r="J487" s="20"/>
      <c r="K487" s="21"/>
      <c r="L487" s="2"/>
    </row>
    <row r="488" spans="1:12" x14ac:dyDescent="0.25">
      <c r="A488" s="58">
        <v>46042</v>
      </c>
      <c r="B488" s="18">
        <v>0.45833333333333331</v>
      </c>
      <c r="C488" s="19"/>
      <c r="D488" s="19"/>
      <c r="E488" s="19"/>
      <c r="F488" s="19"/>
      <c r="G488" s="19"/>
      <c r="H488" s="20"/>
      <c r="I488" s="20"/>
      <c r="J488" s="20"/>
      <c r="K488" s="21"/>
      <c r="L488" s="2"/>
    </row>
    <row r="489" spans="1:12" x14ac:dyDescent="0.25">
      <c r="A489" s="58">
        <v>46042</v>
      </c>
      <c r="B489" s="18">
        <v>0.5</v>
      </c>
      <c r="C489" s="19"/>
      <c r="D489" s="19"/>
      <c r="E489" s="19"/>
      <c r="F489" s="19"/>
      <c r="G489" s="19"/>
      <c r="H489" s="20"/>
      <c r="I489" s="20"/>
      <c r="J489" s="20"/>
      <c r="K489" s="21"/>
      <c r="L489" s="2"/>
    </row>
    <row r="490" spans="1:12" x14ac:dyDescent="0.25">
      <c r="A490" s="58">
        <v>46042</v>
      </c>
      <c r="B490" s="18">
        <v>0.54166666666666663</v>
      </c>
      <c r="C490" s="19"/>
      <c r="D490" s="19"/>
      <c r="E490" s="19"/>
      <c r="F490" s="19"/>
      <c r="G490" s="19"/>
      <c r="H490" s="20"/>
      <c r="I490" s="20"/>
      <c r="J490" s="20"/>
      <c r="K490" s="21"/>
      <c r="L490" s="2"/>
    </row>
    <row r="491" spans="1:12" x14ac:dyDescent="0.25">
      <c r="A491" s="58">
        <v>46042</v>
      </c>
      <c r="B491" s="18">
        <v>0.58333333333333337</v>
      </c>
      <c r="C491" s="19"/>
      <c r="D491" s="19"/>
      <c r="E491" s="19"/>
      <c r="F491" s="19"/>
      <c r="G491" s="19"/>
      <c r="H491" s="20"/>
      <c r="I491" s="20"/>
      <c r="J491" s="20"/>
      <c r="K491" s="21"/>
      <c r="L491" s="2"/>
    </row>
    <row r="492" spans="1:12" x14ac:dyDescent="0.25">
      <c r="A492" s="58">
        <v>46042</v>
      </c>
      <c r="B492" s="18">
        <v>0.625</v>
      </c>
      <c r="C492" s="19"/>
      <c r="D492" s="19"/>
      <c r="E492" s="19"/>
      <c r="F492" s="19"/>
      <c r="G492" s="19"/>
      <c r="H492" s="20"/>
      <c r="I492" s="20"/>
      <c r="J492" s="20"/>
      <c r="K492" s="21"/>
      <c r="L492" s="2"/>
    </row>
    <row r="493" spans="1:12" x14ac:dyDescent="0.25">
      <c r="A493" s="58">
        <v>46042</v>
      </c>
      <c r="B493" s="18">
        <v>0.66666666666666663</v>
      </c>
      <c r="C493" s="19"/>
      <c r="D493" s="19"/>
      <c r="E493" s="19"/>
      <c r="F493" s="19"/>
      <c r="G493" s="19"/>
      <c r="H493" s="20"/>
      <c r="I493" s="20"/>
      <c r="J493" s="20"/>
      <c r="K493" s="21"/>
      <c r="L493" s="2"/>
    </row>
    <row r="494" spans="1:12" x14ac:dyDescent="0.25">
      <c r="A494" s="58">
        <v>46042</v>
      </c>
      <c r="B494" s="18">
        <v>0.70833333333333337</v>
      </c>
      <c r="C494" s="19"/>
      <c r="D494" s="19"/>
      <c r="E494" s="19"/>
      <c r="F494" s="19"/>
      <c r="G494" s="19"/>
      <c r="H494" s="20"/>
      <c r="I494" s="20"/>
      <c r="J494" s="20"/>
      <c r="K494" s="21"/>
      <c r="L494" s="2"/>
    </row>
    <row r="495" spans="1:12" x14ac:dyDescent="0.25">
      <c r="A495" s="58">
        <v>46042</v>
      </c>
      <c r="B495" s="18">
        <v>0.75</v>
      </c>
      <c r="C495" s="19"/>
      <c r="D495" s="19"/>
      <c r="E495" s="19"/>
      <c r="F495" s="19"/>
      <c r="G495" s="19"/>
      <c r="H495" s="20"/>
      <c r="I495" s="20"/>
      <c r="J495" s="20"/>
      <c r="K495" s="21"/>
      <c r="L495" s="2"/>
    </row>
    <row r="496" spans="1:12" x14ac:dyDescent="0.25">
      <c r="A496" s="58">
        <v>46042</v>
      </c>
      <c r="B496" s="18">
        <v>0.79166666666666663</v>
      </c>
      <c r="C496" s="19"/>
      <c r="D496" s="19"/>
      <c r="E496" s="19"/>
      <c r="F496" s="19"/>
      <c r="G496" s="19"/>
      <c r="H496" s="20"/>
      <c r="I496" s="20"/>
      <c r="J496" s="20"/>
      <c r="K496" s="21"/>
      <c r="L496" s="2"/>
    </row>
    <row r="497" spans="1:12" x14ac:dyDescent="0.25">
      <c r="A497" s="58">
        <v>46042</v>
      </c>
      <c r="B497" s="18">
        <v>0.83333333333333337</v>
      </c>
      <c r="C497" s="19"/>
      <c r="D497" s="19"/>
      <c r="E497" s="19"/>
      <c r="F497" s="19"/>
      <c r="G497" s="19"/>
      <c r="H497" s="20"/>
      <c r="I497" s="20"/>
      <c r="J497" s="20"/>
      <c r="K497" s="21"/>
      <c r="L497" s="2"/>
    </row>
    <row r="498" spans="1:12" x14ac:dyDescent="0.25">
      <c r="A498" s="58">
        <v>46042</v>
      </c>
      <c r="B498" s="18">
        <v>0.875</v>
      </c>
      <c r="C498" s="19"/>
      <c r="D498" s="19"/>
      <c r="E498" s="19"/>
      <c r="F498" s="19"/>
      <c r="G498" s="19"/>
      <c r="H498" s="20"/>
      <c r="I498" s="20"/>
      <c r="J498" s="20"/>
      <c r="K498" s="21"/>
      <c r="L498" s="2"/>
    </row>
    <row r="499" spans="1:12" x14ac:dyDescent="0.25">
      <c r="A499" s="58">
        <v>46042</v>
      </c>
      <c r="B499" s="18">
        <v>0.91666666666666663</v>
      </c>
      <c r="C499" s="19"/>
      <c r="D499" s="19"/>
      <c r="E499" s="19"/>
      <c r="F499" s="19"/>
      <c r="G499" s="19"/>
      <c r="H499" s="20"/>
      <c r="I499" s="20"/>
      <c r="J499" s="20"/>
      <c r="K499" s="21"/>
      <c r="L499" s="2"/>
    </row>
    <row r="500" spans="1:12" ht="15.75" thickBot="1" x14ac:dyDescent="0.3">
      <c r="A500" s="60">
        <v>46042</v>
      </c>
      <c r="B500" s="35">
        <v>0.95833333333333337</v>
      </c>
      <c r="C500" s="23"/>
      <c r="D500" s="23"/>
      <c r="E500" s="23"/>
      <c r="F500" s="23"/>
      <c r="G500" s="23"/>
      <c r="H500" s="24"/>
      <c r="I500" s="24"/>
      <c r="J500" s="24"/>
      <c r="K500" s="25"/>
      <c r="L500" s="2"/>
    </row>
    <row r="501" spans="1:12" ht="15.75" thickBot="1" x14ac:dyDescent="0.3">
      <c r="A501" s="26" t="s">
        <v>31</v>
      </c>
      <c r="B501" s="44"/>
      <c r="C501" s="45" t="str">
        <f t="shared" ref="C501:K501" si="19">IFERROR(ROUND(AVERAGE(C477:C500), 2), "")</f>
        <v/>
      </c>
      <c r="D501" s="45" t="str">
        <f t="shared" si="19"/>
        <v/>
      </c>
      <c r="E501" s="45" t="str">
        <f t="shared" si="19"/>
        <v/>
      </c>
      <c r="F501" s="45" t="str">
        <f t="shared" si="19"/>
        <v/>
      </c>
      <c r="G501" s="45" t="str">
        <f t="shared" si="19"/>
        <v/>
      </c>
      <c r="H501" s="45" t="str">
        <f t="shared" si="19"/>
        <v/>
      </c>
      <c r="I501" s="45" t="str">
        <f t="shared" si="19"/>
        <v/>
      </c>
      <c r="J501" s="45" t="str">
        <f t="shared" si="19"/>
        <v/>
      </c>
      <c r="K501" s="46" t="str">
        <f t="shared" si="19"/>
        <v/>
      </c>
      <c r="L501" s="7"/>
    </row>
    <row r="502" spans="1:12" x14ac:dyDescent="0.25">
      <c r="A502" s="57">
        <v>46043</v>
      </c>
      <c r="B502" s="14">
        <v>0</v>
      </c>
      <c r="C502" s="15"/>
      <c r="D502" s="15"/>
      <c r="E502" s="16"/>
      <c r="F502" s="15"/>
      <c r="G502" s="15"/>
      <c r="H502" s="16"/>
      <c r="I502" s="16"/>
      <c r="J502" s="16"/>
      <c r="K502" s="17"/>
      <c r="L502" s="2"/>
    </row>
    <row r="503" spans="1:12" x14ac:dyDescent="0.25">
      <c r="A503" s="58">
        <v>46043</v>
      </c>
      <c r="B503" s="18">
        <v>4.1666666666666664E-2</v>
      </c>
      <c r="C503" s="19"/>
      <c r="D503" s="19"/>
      <c r="E503" s="20"/>
      <c r="F503" s="19"/>
      <c r="G503" s="19"/>
      <c r="H503" s="20"/>
      <c r="I503" s="20"/>
      <c r="J503" s="20"/>
      <c r="K503" s="21"/>
      <c r="L503" s="2"/>
    </row>
    <row r="504" spans="1:12" x14ac:dyDescent="0.25">
      <c r="A504" s="58">
        <v>46043</v>
      </c>
      <c r="B504" s="18">
        <v>8.3333333333333329E-2</v>
      </c>
      <c r="C504" s="19"/>
      <c r="D504" s="19"/>
      <c r="E504" s="20"/>
      <c r="F504" s="19"/>
      <c r="G504" s="19"/>
      <c r="H504" s="20"/>
      <c r="I504" s="20"/>
      <c r="J504" s="20"/>
      <c r="K504" s="21"/>
      <c r="L504" s="2"/>
    </row>
    <row r="505" spans="1:12" x14ac:dyDescent="0.25">
      <c r="A505" s="58">
        <v>46043</v>
      </c>
      <c r="B505" s="18">
        <v>0.125</v>
      </c>
      <c r="C505" s="19"/>
      <c r="D505" s="19"/>
      <c r="E505" s="20"/>
      <c r="F505" s="19"/>
      <c r="G505" s="19"/>
      <c r="H505" s="20"/>
      <c r="I505" s="20"/>
      <c r="J505" s="20"/>
      <c r="K505" s="21"/>
      <c r="L505" s="2"/>
    </row>
    <row r="506" spans="1:12" x14ac:dyDescent="0.25">
      <c r="A506" s="58">
        <v>46043</v>
      </c>
      <c r="B506" s="18">
        <v>0.16666666666666666</v>
      </c>
      <c r="C506" s="19"/>
      <c r="D506" s="19"/>
      <c r="E506" s="20"/>
      <c r="F506" s="19"/>
      <c r="G506" s="19"/>
      <c r="H506" s="20"/>
      <c r="I506" s="20"/>
      <c r="J506" s="20"/>
      <c r="K506" s="21"/>
      <c r="L506" s="2"/>
    </row>
    <row r="507" spans="1:12" x14ac:dyDescent="0.25">
      <c r="A507" s="58">
        <v>46043</v>
      </c>
      <c r="B507" s="18">
        <v>0.20833333333333334</v>
      </c>
      <c r="C507" s="19"/>
      <c r="D507" s="19"/>
      <c r="E507" s="20"/>
      <c r="F507" s="19"/>
      <c r="G507" s="19"/>
      <c r="H507" s="20"/>
      <c r="I507" s="20"/>
      <c r="J507" s="20"/>
      <c r="K507" s="21"/>
      <c r="L507" s="2"/>
    </row>
    <row r="508" spans="1:12" x14ac:dyDescent="0.25">
      <c r="A508" s="58">
        <v>46043</v>
      </c>
      <c r="B508" s="18">
        <v>0.25</v>
      </c>
      <c r="C508" s="19"/>
      <c r="D508" s="19"/>
      <c r="E508" s="20"/>
      <c r="F508" s="19"/>
      <c r="G508" s="19"/>
      <c r="H508" s="20"/>
      <c r="I508" s="20"/>
      <c r="J508" s="20"/>
      <c r="K508" s="21"/>
      <c r="L508" s="2"/>
    </row>
    <row r="509" spans="1:12" x14ac:dyDescent="0.25">
      <c r="A509" s="58">
        <v>46043</v>
      </c>
      <c r="B509" s="18">
        <v>0.29166666666666669</v>
      </c>
      <c r="C509" s="19"/>
      <c r="D509" s="19"/>
      <c r="E509" s="20"/>
      <c r="F509" s="19"/>
      <c r="G509" s="19"/>
      <c r="H509" s="20"/>
      <c r="I509" s="20"/>
      <c r="J509" s="20"/>
      <c r="K509" s="21"/>
      <c r="L509" s="2"/>
    </row>
    <row r="510" spans="1:12" x14ac:dyDescent="0.25">
      <c r="A510" s="58">
        <v>46043</v>
      </c>
      <c r="B510" s="18">
        <v>0.33333333333333331</v>
      </c>
      <c r="C510" s="19"/>
      <c r="D510" s="19"/>
      <c r="E510" s="20"/>
      <c r="F510" s="19"/>
      <c r="G510" s="19"/>
      <c r="H510" s="20"/>
      <c r="I510" s="20"/>
      <c r="J510" s="20"/>
      <c r="K510" s="21"/>
      <c r="L510" s="2"/>
    </row>
    <row r="511" spans="1:12" x14ac:dyDescent="0.25">
      <c r="A511" s="58">
        <v>46043</v>
      </c>
      <c r="B511" s="18">
        <v>0.375</v>
      </c>
      <c r="C511" s="19"/>
      <c r="D511" s="19"/>
      <c r="E511" s="20"/>
      <c r="F511" s="19"/>
      <c r="G511" s="19"/>
      <c r="H511" s="20"/>
      <c r="I511" s="20"/>
      <c r="J511" s="20"/>
      <c r="K511" s="21"/>
      <c r="L511" s="2"/>
    </row>
    <row r="512" spans="1:12" x14ac:dyDescent="0.25">
      <c r="A512" s="58">
        <v>46043</v>
      </c>
      <c r="B512" s="18">
        <v>0.41666666666666669</v>
      </c>
      <c r="C512" s="19"/>
      <c r="D512" s="19"/>
      <c r="E512" s="20"/>
      <c r="F512" s="19"/>
      <c r="G512" s="19"/>
      <c r="H512" s="20"/>
      <c r="I512" s="20"/>
      <c r="J512" s="20"/>
      <c r="K512" s="21"/>
      <c r="L512" s="2"/>
    </row>
    <row r="513" spans="1:12" x14ac:dyDescent="0.25">
      <c r="A513" s="58">
        <v>46043</v>
      </c>
      <c r="B513" s="18">
        <v>0.45833333333333331</v>
      </c>
      <c r="C513" s="19"/>
      <c r="D513" s="19"/>
      <c r="E513" s="20"/>
      <c r="F513" s="19"/>
      <c r="G513" s="19"/>
      <c r="H513" s="20"/>
      <c r="I513" s="20"/>
      <c r="J513" s="20"/>
      <c r="K513" s="21"/>
      <c r="L513" s="2"/>
    </row>
    <row r="514" spans="1:12" x14ac:dyDescent="0.25">
      <c r="A514" s="58">
        <v>46043</v>
      </c>
      <c r="B514" s="18">
        <v>0.5</v>
      </c>
      <c r="C514" s="19"/>
      <c r="D514" s="19"/>
      <c r="E514" s="20"/>
      <c r="F514" s="19"/>
      <c r="G514" s="19"/>
      <c r="H514" s="20"/>
      <c r="I514" s="20"/>
      <c r="J514" s="20"/>
      <c r="K514" s="21"/>
      <c r="L514" s="2"/>
    </row>
    <row r="515" spans="1:12" x14ac:dyDescent="0.25">
      <c r="A515" s="58">
        <v>46043</v>
      </c>
      <c r="B515" s="18">
        <v>0.54166666666666663</v>
      </c>
      <c r="C515" s="19"/>
      <c r="D515" s="19"/>
      <c r="E515" s="20"/>
      <c r="F515" s="19"/>
      <c r="G515" s="19"/>
      <c r="H515" s="20"/>
      <c r="I515" s="20"/>
      <c r="J515" s="20"/>
      <c r="K515" s="21"/>
      <c r="L515" s="2"/>
    </row>
    <row r="516" spans="1:12" x14ac:dyDescent="0.25">
      <c r="A516" s="58">
        <v>46043</v>
      </c>
      <c r="B516" s="18">
        <v>0.58333333333333337</v>
      </c>
      <c r="C516" s="19"/>
      <c r="D516" s="19"/>
      <c r="E516" s="20"/>
      <c r="F516" s="19"/>
      <c r="G516" s="19"/>
      <c r="H516" s="20"/>
      <c r="I516" s="20"/>
      <c r="J516" s="20"/>
      <c r="K516" s="21"/>
      <c r="L516" s="2"/>
    </row>
    <row r="517" spans="1:12" x14ac:dyDescent="0.25">
      <c r="A517" s="58">
        <v>46043</v>
      </c>
      <c r="B517" s="18">
        <v>0.625</v>
      </c>
      <c r="C517" s="19"/>
      <c r="D517" s="19"/>
      <c r="E517" s="20"/>
      <c r="F517" s="19"/>
      <c r="G517" s="19"/>
      <c r="H517" s="20"/>
      <c r="I517" s="20"/>
      <c r="J517" s="20"/>
      <c r="K517" s="21"/>
      <c r="L517" s="2"/>
    </row>
    <row r="518" spans="1:12" x14ac:dyDescent="0.25">
      <c r="A518" s="58">
        <v>46043</v>
      </c>
      <c r="B518" s="18">
        <v>0.66666666666666663</v>
      </c>
      <c r="C518" s="19"/>
      <c r="D518" s="19"/>
      <c r="E518" s="20"/>
      <c r="F518" s="19"/>
      <c r="G518" s="19"/>
      <c r="H518" s="20"/>
      <c r="I518" s="20"/>
      <c r="J518" s="20"/>
      <c r="K518" s="21"/>
      <c r="L518" s="2"/>
    </row>
    <row r="519" spans="1:12" x14ac:dyDescent="0.25">
      <c r="A519" s="58">
        <v>46043</v>
      </c>
      <c r="B519" s="18">
        <v>0.70833333333333337</v>
      </c>
      <c r="C519" s="19"/>
      <c r="D519" s="19"/>
      <c r="E519" s="20"/>
      <c r="F519" s="19"/>
      <c r="G519" s="19"/>
      <c r="H519" s="20"/>
      <c r="I519" s="20"/>
      <c r="J519" s="20"/>
      <c r="K519" s="21"/>
      <c r="L519" s="2"/>
    </row>
    <row r="520" spans="1:12" x14ac:dyDescent="0.25">
      <c r="A520" s="58">
        <v>46043</v>
      </c>
      <c r="B520" s="18">
        <v>0.75</v>
      </c>
      <c r="C520" s="19"/>
      <c r="D520" s="19"/>
      <c r="E520" s="20"/>
      <c r="F520" s="19"/>
      <c r="G520" s="19"/>
      <c r="H520" s="20"/>
      <c r="I520" s="20"/>
      <c r="J520" s="20"/>
      <c r="K520" s="21"/>
      <c r="L520" s="2"/>
    </row>
    <row r="521" spans="1:12" x14ac:dyDescent="0.25">
      <c r="A521" s="58">
        <v>46043</v>
      </c>
      <c r="B521" s="18">
        <v>0.79166666666666663</v>
      </c>
      <c r="C521" s="19"/>
      <c r="D521" s="19"/>
      <c r="E521" s="20"/>
      <c r="F521" s="19"/>
      <c r="G521" s="19"/>
      <c r="H521" s="20"/>
      <c r="I521" s="20"/>
      <c r="J521" s="20"/>
      <c r="K521" s="21"/>
      <c r="L521" s="2"/>
    </row>
    <row r="522" spans="1:12" x14ac:dyDescent="0.25">
      <c r="A522" s="58">
        <v>46043</v>
      </c>
      <c r="B522" s="18">
        <v>0.83333333333333337</v>
      </c>
      <c r="C522" s="19"/>
      <c r="D522" s="19"/>
      <c r="E522" s="20"/>
      <c r="F522" s="19"/>
      <c r="G522" s="19"/>
      <c r="H522" s="20"/>
      <c r="I522" s="20"/>
      <c r="J522" s="20"/>
      <c r="K522" s="21"/>
      <c r="L522" s="2"/>
    </row>
    <row r="523" spans="1:12" x14ac:dyDescent="0.25">
      <c r="A523" s="58">
        <v>46043</v>
      </c>
      <c r="B523" s="18">
        <v>0.875</v>
      </c>
      <c r="C523" s="19"/>
      <c r="D523" s="19"/>
      <c r="E523" s="20"/>
      <c r="F523" s="19"/>
      <c r="G523" s="19"/>
      <c r="H523" s="20"/>
      <c r="I523" s="20"/>
      <c r="J523" s="20"/>
      <c r="K523" s="21"/>
      <c r="L523" s="2"/>
    </row>
    <row r="524" spans="1:12" x14ac:dyDescent="0.25">
      <c r="A524" s="58">
        <v>46043</v>
      </c>
      <c r="B524" s="18">
        <v>0.91666666666666663</v>
      </c>
      <c r="C524" s="19"/>
      <c r="D524" s="19"/>
      <c r="E524" s="20"/>
      <c r="F524" s="19"/>
      <c r="G524" s="19"/>
      <c r="H524" s="20"/>
      <c r="I524" s="20"/>
      <c r="J524" s="20"/>
      <c r="K524" s="21"/>
      <c r="L524" s="2"/>
    </row>
    <row r="525" spans="1:12" ht="15.75" thickBot="1" x14ac:dyDescent="0.3">
      <c r="A525" s="60">
        <v>46043</v>
      </c>
      <c r="B525" s="35">
        <v>0.95833333333333337</v>
      </c>
      <c r="C525" s="23"/>
      <c r="D525" s="23"/>
      <c r="E525" s="24"/>
      <c r="F525" s="23"/>
      <c r="G525" s="23"/>
      <c r="H525" s="24"/>
      <c r="I525" s="24"/>
      <c r="J525" s="24"/>
      <c r="K525" s="25"/>
      <c r="L525" s="2"/>
    </row>
    <row r="526" spans="1:12" ht="15.75" thickBot="1" x14ac:dyDescent="0.3">
      <c r="A526" s="26" t="s">
        <v>32</v>
      </c>
      <c r="B526" s="44"/>
      <c r="C526" s="45" t="str">
        <f t="shared" ref="C526:K526" si="20">IFERROR(ROUND(AVERAGE(C502:C525), 2), "")</f>
        <v/>
      </c>
      <c r="D526" s="45" t="str">
        <f t="shared" si="20"/>
        <v/>
      </c>
      <c r="E526" s="45" t="str">
        <f t="shared" si="20"/>
        <v/>
      </c>
      <c r="F526" s="45" t="str">
        <f t="shared" si="20"/>
        <v/>
      </c>
      <c r="G526" s="45" t="str">
        <f t="shared" si="20"/>
        <v/>
      </c>
      <c r="H526" s="45" t="str">
        <f t="shared" si="20"/>
        <v/>
      </c>
      <c r="I526" s="45" t="str">
        <f t="shared" si="20"/>
        <v/>
      </c>
      <c r="J526" s="45" t="str">
        <f t="shared" si="20"/>
        <v/>
      </c>
      <c r="K526" s="46" t="str">
        <f t="shared" si="20"/>
        <v/>
      </c>
      <c r="L526" s="7"/>
    </row>
    <row r="527" spans="1:12" x14ac:dyDescent="0.25">
      <c r="A527" s="57">
        <v>46044</v>
      </c>
      <c r="B527" s="14">
        <v>0</v>
      </c>
      <c r="C527" s="15"/>
      <c r="D527" s="15"/>
      <c r="E527" s="15"/>
      <c r="F527" s="15"/>
      <c r="G527" s="15"/>
      <c r="H527" s="16"/>
      <c r="I527" s="16"/>
      <c r="J527" s="16"/>
      <c r="K527" s="17"/>
      <c r="L527" s="2"/>
    </row>
    <row r="528" spans="1:12" x14ac:dyDescent="0.25">
      <c r="A528" s="58">
        <v>46044</v>
      </c>
      <c r="B528" s="18">
        <v>4.1666666666666664E-2</v>
      </c>
      <c r="C528" s="19"/>
      <c r="D528" s="19"/>
      <c r="E528" s="19"/>
      <c r="F528" s="19"/>
      <c r="G528" s="19"/>
      <c r="H528" s="20"/>
      <c r="I528" s="20"/>
      <c r="J528" s="20"/>
      <c r="K528" s="21"/>
      <c r="L528" s="2"/>
    </row>
    <row r="529" spans="1:12" x14ac:dyDescent="0.25">
      <c r="A529" s="58">
        <v>46044</v>
      </c>
      <c r="B529" s="18">
        <v>8.3333333333333329E-2</v>
      </c>
      <c r="C529" s="19"/>
      <c r="D529" s="19"/>
      <c r="E529" s="19"/>
      <c r="F529" s="19"/>
      <c r="G529" s="19"/>
      <c r="H529" s="20"/>
      <c r="I529" s="20"/>
      <c r="J529" s="20"/>
      <c r="K529" s="21"/>
      <c r="L529" s="2"/>
    </row>
    <row r="530" spans="1:12" x14ac:dyDescent="0.25">
      <c r="A530" s="58">
        <v>46044</v>
      </c>
      <c r="B530" s="18">
        <v>0.125</v>
      </c>
      <c r="C530" s="19"/>
      <c r="D530" s="19"/>
      <c r="E530" s="19"/>
      <c r="F530" s="19"/>
      <c r="G530" s="19"/>
      <c r="H530" s="20"/>
      <c r="I530" s="20"/>
      <c r="J530" s="20"/>
      <c r="K530" s="21"/>
      <c r="L530" s="2"/>
    </row>
    <row r="531" spans="1:12" x14ac:dyDescent="0.25">
      <c r="A531" s="58">
        <v>46044</v>
      </c>
      <c r="B531" s="18">
        <v>0.16666666666666666</v>
      </c>
      <c r="C531" s="19"/>
      <c r="D531" s="19"/>
      <c r="E531" s="19"/>
      <c r="F531" s="19"/>
      <c r="G531" s="19"/>
      <c r="H531" s="20"/>
      <c r="I531" s="20"/>
      <c r="J531" s="20"/>
      <c r="K531" s="21"/>
      <c r="L531" s="2"/>
    </row>
    <row r="532" spans="1:12" x14ac:dyDescent="0.25">
      <c r="A532" s="58">
        <v>46044</v>
      </c>
      <c r="B532" s="18">
        <v>0.20833333333333334</v>
      </c>
      <c r="C532" s="19"/>
      <c r="D532" s="19"/>
      <c r="E532" s="19"/>
      <c r="F532" s="19"/>
      <c r="G532" s="19"/>
      <c r="H532" s="20"/>
      <c r="I532" s="20"/>
      <c r="J532" s="20"/>
      <c r="K532" s="21"/>
      <c r="L532" s="2"/>
    </row>
    <row r="533" spans="1:12" x14ac:dyDescent="0.25">
      <c r="A533" s="58">
        <v>46044</v>
      </c>
      <c r="B533" s="18">
        <v>0.25</v>
      </c>
      <c r="C533" s="19"/>
      <c r="D533" s="19"/>
      <c r="E533" s="19"/>
      <c r="F533" s="19"/>
      <c r="G533" s="19"/>
      <c r="H533" s="20"/>
      <c r="I533" s="20"/>
      <c r="J533" s="20"/>
      <c r="K533" s="21"/>
      <c r="L533" s="2"/>
    </row>
    <row r="534" spans="1:12" x14ac:dyDescent="0.25">
      <c r="A534" s="58">
        <v>46044</v>
      </c>
      <c r="B534" s="18">
        <v>0.29166666666666669</v>
      </c>
      <c r="C534" s="19"/>
      <c r="D534" s="19"/>
      <c r="E534" s="19"/>
      <c r="F534" s="19"/>
      <c r="G534" s="19"/>
      <c r="H534" s="20"/>
      <c r="I534" s="20"/>
      <c r="J534" s="20"/>
      <c r="K534" s="21"/>
      <c r="L534" s="2"/>
    </row>
    <row r="535" spans="1:12" x14ac:dyDescent="0.25">
      <c r="A535" s="58">
        <v>46044</v>
      </c>
      <c r="B535" s="18">
        <v>0.33333333333333331</v>
      </c>
      <c r="C535" s="19"/>
      <c r="D535" s="19"/>
      <c r="E535" s="19"/>
      <c r="F535" s="19"/>
      <c r="G535" s="19"/>
      <c r="H535" s="20"/>
      <c r="I535" s="20"/>
      <c r="J535" s="20"/>
      <c r="K535" s="21"/>
      <c r="L535" s="2"/>
    </row>
    <row r="536" spans="1:12" x14ac:dyDescent="0.25">
      <c r="A536" s="58">
        <v>46044</v>
      </c>
      <c r="B536" s="18">
        <v>0.375</v>
      </c>
      <c r="C536" s="19"/>
      <c r="D536" s="19"/>
      <c r="E536" s="19"/>
      <c r="F536" s="19"/>
      <c r="G536" s="19"/>
      <c r="H536" s="20"/>
      <c r="I536" s="20"/>
      <c r="J536" s="20"/>
      <c r="K536" s="21"/>
      <c r="L536" s="2"/>
    </row>
    <row r="537" spans="1:12" x14ac:dyDescent="0.25">
      <c r="A537" s="58">
        <v>46044</v>
      </c>
      <c r="B537" s="18">
        <v>0.41666666666666669</v>
      </c>
      <c r="C537" s="19"/>
      <c r="D537" s="19"/>
      <c r="E537" s="19"/>
      <c r="F537" s="19"/>
      <c r="G537" s="19"/>
      <c r="H537" s="20"/>
      <c r="I537" s="20"/>
      <c r="J537" s="20"/>
      <c r="K537" s="21"/>
      <c r="L537" s="2"/>
    </row>
    <row r="538" spans="1:12" x14ac:dyDescent="0.25">
      <c r="A538" s="58">
        <v>46044</v>
      </c>
      <c r="B538" s="18">
        <v>0.45833333333333331</v>
      </c>
      <c r="C538" s="19"/>
      <c r="D538" s="19"/>
      <c r="E538" s="19"/>
      <c r="F538" s="19"/>
      <c r="G538" s="19"/>
      <c r="H538" s="20"/>
      <c r="I538" s="20"/>
      <c r="J538" s="20"/>
      <c r="K538" s="21"/>
      <c r="L538" s="2"/>
    </row>
    <row r="539" spans="1:12" x14ac:dyDescent="0.25">
      <c r="A539" s="58">
        <v>46044</v>
      </c>
      <c r="B539" s="18">
        <v>0.5</v>
      </c>
      <c r="C539" s="19"/>
      <c r="D539" s="19"/>
      <c r="E539" s="19"/>
      <c r="F539" s="19"/>
      <c r="G539" s="19"/>
      <c r="H539" s="20"/>
      <c r="I539" s="20"/>
      <c r="J539" s="20"/>
      <c r="K539" s="21"/>
      <c r="L539" s="2"/>
    </row>
    <row r="540" spans="1:12" x14ac:dyDescent="0.25">
      <c r="A540" s="58">
        <v>46044</v>
      </c>
      <c r="B540" s="18">
        <v>0.54166666666666663</v>
      </c>
      <c r="C540" s="19"/>
      <c r="D540" s="19"/>
      <c r="E540" s="19"/>
      <c r="F540" s="19"/>
      <c r="G540" s="19"/>
      <c r="H540" s="20"/>
      <c r="I540" s="20"/>
      <c r="J540" s="20"/>
      <c r="K540" s="21"/>
      <c r="L540" s="2"/>
    </row>
    <row r="541" spans="1:12" x14ac:dyDescent="0.25">
      <c r="A541" s="58">
        <v>46044</v>
      </c>
      <c r="B541" s="18">
        <v>0.58333333333333337</v>
      </c>
      <c r="C541" s="19"/>
      <c r="D541" s="19"/>
      <c r="E541" s="19"/>
      <c r="F541" s="19"/>
      <c r="G541" s="19"/>
      <c r="H541" s="20"/>
      <c r="I541" s="20"/>
      <c r="J541" s="20"/>
      <c r="K541" s="21"/>
      <c r="L541" s="2"/>
    </row>
    <row r="542" spans="1:12" x14ac:dyDescent="0.25">
      <c r="A542" s="58">
        <v>46044</v>
      </c>
      <c r="B542" s="18">
        <v>0.625</v>
      </c>
      <c r="C542" s="19"/>
      <c r="D542" s="19"/>
      <c r="E542" s="19"/>
      <c r="F542" s="19"/>
      <c r="G542" s="19"/>
      <c r="H542" s="20"/>
      <c r="I542" s="20"/>
      <c r="J542" s="20"/>
      <c r="K542" s="21"/>
      <c r="L542" s="2"/>
    </row>
    <row r="543" spans="1:12" x14ac:dyDescent="0.25">
      <c r="A543" s="58">
        <v>46044</v>
      </c>
      <c r="B543" s="18">
        <v>0.66666666666666663</v>
      </c>
      <c r="C543" s="19"/>
      <c r="D543" s="19"/>
      <c r="E543" s="19"/>
      <c r="F543" s="19"/>
      <c r="G543" s="19"/>
      <c r="H543" s="20"/>
      <c r="I543" s="20"/>
      <c r="J543" s="20"/>
      <c r="K543" s="21"/>
      <c r="L543" s="2"/>
    </row>
    <row r="544" spans="1:12" x14ac:dyDescent="0.25">
      <c r="A544" s="58">
        <v>46044</v>
      </c>
      <c r="B544" s="18">
        <v>0.70833333333333337</v>
      </c>
      <c r="C544" s="19"/>
      <c r="D544" s="19"/>
      <c r="E544" s="19"/>
      <c r="F544" s="19"/>
      <c r="G544" s="19"/>
      <c r="H544" s="20"/>
      <c r="I544" s="20"/>
      <c r="J544" s="20"/>
      <c r="K544" s="21"/>
      <c r="L544" s="2"/>
    </row>
    <row r="545" spans="1:12" x14ac:dyDescent="0.25">
      <c r="A545" s="58">
        <v>46044</v>
      </c>
      <c r="B545" s="18">
        <v>0.75</v>
      </c>
      <c r="C545" s="19"/>
      <c r="D545" s="19"/>
      <c r="E545" s="19"/>
      <c r="F545" s="19"/>
      <c r="G545" s="19"/>
      <c r="H545" s="20"/>
      <c r="I545" s="20"/>
      <c r="J545" s="20"/>
      <c r="K545" s="21"/>
      <c r="L545" s="2"/>
    </row>
    <row r="546" spans="1:12" x14ac:dyDescent="0.25">
      <c r="A546" s="58">
        <v>46044</v>
      </c>
      <c r="B546" s="18">
        <v>0.79166666666666663</v>
      </c>
      <c r="C546" s="19"/>
      <c r="D546" s="19"/>
      <c r="E546" s="19"/>
      <c r="F546" s="19"/>
      <c r="G546" s="19"/>
      <c r="H546" s="20"/>
      <c r="I546" s="20"/>
      <c r="J546" s="20"/>
      <c r="K546" s="21"/>
      <c r="L546" s="2"/>
    </row>
    <row r="547" spans="1:12" x14ac:dyDescent="0.25">
      <c r="A547" s="58">
        <v>46044</v>
      </c>
      <c r="B547" s="18">
        <v>0.83333333333333337</v>
      </c>
      <c r="C547" s="19"/>
      <c r="D547" s="19"/>
      <c r="E547" s="19"/>
      <c r="F547" s="19"/>
      <c r="G547" s="19"/>
      <c r="H547" s="20"/>
      <c r="I547" s="20"/>
      <c r="J547" s="20"/>
      <c r="K547" s="21"/>
      <c r="L547" s="2"/>
    </row>
    <row r="548" spans="1:12" x14ac:dyDescent="0.25">
      <c r="A548" s="58">
        <v>46044</v>
      </c>
      <c r="B548" s="18">
        <v>0.875</v>
      </c>
      <c r="C548" s="19"/>
      <c r="D548" s="19"/>
      <c r="E548" s="19"/>
      <c r="F548" s="19"/>
      <c r="G548" s="19"/>
      <c r="H548" s="20"/>
      <c r="I548" s="20"/>
      <c r="J548" s="20"/>
      <c r="K548" s="21"/>
      <c r="L548" s="2"/>
    </row>
    <row r="549" spans="1:12" x14ac:dyDescent="0.25">
      <c r="A549" s="58">
        <v>46044</v>
      </c>
      <c r="B549" s="18">
        <v>0.91666666666666663</v>
      </c>
      <c r="C549" s="19"/>
      <c r="D549" s="19"/>
      <c r="E549" s="19"/>
      <c r="F549" s="19"/>
      <c r="G549" s="19"/>
      <c r="H549" s="20"/>
      <c r="I549" s="20"/>
      <c r="J549" s="20"/>
      <c r="K549" s="21"/>
      <c r="L549" s="2"/>
    </row>
    <row r="550" spans="1:12" ht="15.75" thickBot="1" x14ac:dyDescent="0.3">
      <c r="A550" s="60">
        <v>46044</v>
      </c>
      <c r="B550" s="35">
        <v>0.95833333333333337</v>
      </c>
      <c r="C550" s="23"/>
      <c r="D550" s="23"/>
      <c r="E550" s="23"/>
      <c r="F550" s="23"/>
      <c r="G550" s="23"/>
      <c r="H550" s="24"/>
      <c r="I550" s="24"/>
      <c r="J550" s="24"/>
      <c r="K550" s="25"/>
      <c r="L550" s="2"/>
    </row>
    <row r="551" spans="1:12" ht="15.75" thickBot="1" x14ac:dyDescent="0.3">
      <c r="A551" s="26" t="s">
        <v>33</v>
      </c>
      <c r="B551" s="44"/>
      <c r="C551" s="45" t="str">
        <f t="shared" ref="C551:K551" si="21">IFERROR(ROUND(AVERAGE(C527:C550), 2), "")</f>
        <v/>
      </c>
      <c r="D551" s="45" t="str">
        <f t="shared" si="21"/>
        <v/>
      </c>
      <c r="E551" s="45" t="str">
        <f t="shared" si="21"/>
        <v/>
      </c>
      <c r="F551" s="45" t="str">
        <f t="shared" si="21"/>
        <v/>
      </c>
      <c r="G551" s="45" t="str">
        <f t="shared" si="21"/>
        <v/>
      </c>
      <c r="H551" s="45" t="str">
        <f t="shared" si="21"/>
        <v/>
      </c>
      <c r="I551" s="45" t="str">
        <f t="shared" si="21"/>
        <v/>
      </c>
      <c r="J551" s="45" t="str">
        <f t="shared" si="21"/>
        <v/>
      </c>
      <c r="K551" s="46" t="str">
        <f t="shared" si="21"/>
        <v/>
      </c>
      <c r="L551" s="7"/>
    </row>
    <row r="552" spans="1:12" x14ac:dyDescent="0.25">
      <c r="A552" s="57">
        <v>46045</v>
      </c>
      <c r="B552" s="14">
        <v>0</v>
      </c>
      <c r="C552" s="15"/>
      <c r="D552" s="15"/>
      <c r="E552" s="15"/>
      <c r="F552" s="15"/>
      <c r="G552" s="15"/>
      <c r="H552" s="16"/>
      <c r="I552" s="16"/>
      <c r="J552" s="16"/>
      <c r="K552" s="17"/>
      <c r="L552" s="2"/>
    </row>
    <row r="553" spans="1:12" x14ac:dyDescent="0.25">
      <c r="A553" s="58">
        <v>46045</v>
      </c>
      <c r="B553" s="18">
        <v>4.1666666666666664E-2</v>
      </c>
      <c r="C553" s="19"/>
      <c r="D553" s="19"/>
      <c r="E553" s="19"/>
      <c r="F553" s="19"/>
      <c r="G553" s="19"/>
      <c r="H553" s="20"/>
      <c r="I553" s="20"/>
      <c r="J553" s="20"/>
      <c r="K553" s="21"/>
      <c r="L553" s="2"/>
    </row>
    <row r="554" spans="1:12" x14ac:dyDescent="0.25">
      <c r="A554" s="58">
        <v>46045</v>
      </c>
      <c r="B554" s="18">
        <v>8.3333333333333329E-2</v>
      </c>
      <c r="C554" s="19"/>
      <c r="D554" s="19"/>
      <c r="E554" s="19"/>
      <c r="F554" s="19"/>
      <c r="G554" s="19"/>
      <c r="H554" s="20"/>
      <c r="I554" s="20"/>
      <c r="J554" s="20"/>
      <c r="K554" s="21"/>
      <c r="L554" s="2"/>
    </row>
    <row r="555" spans="1:12" x14ac:dyDescent="0.25">
      <c r="A555" s="58">
        <v>46045</v>
      </c>
      <c r="B555" s="18">
        <v>0.125</v>
      </c>
      <c r="C555" s="19"/>
      <c r="D555" s="19"/>
      <c r="E555" s="19"/>
      <c r="F555" s="19"/>
      <c r="G555" s="19"/>
      <c r="H555" s="20"/>
      <c r="I555" s="20"/>
      <c r="J555" s="20"/>
      <c r="K555" s="21"/>
      <c r="L555" s="2"/>
    </row>
    <row r="556" spans="1:12" x14ac:dyDescent="0.25">
      <c r="A556" s="58">
        <v>46045</v>
      </c>
      <c r="B556" s="18">
        <v>0.16666666666666666</v>
      </c>
      <c r="C556" s="19"/>
      <c r="D556" s="19"/>
      <c r="E556" s="19"/>
      <c r="F556" s="19"/>
      <c r="G556" s="19"/>
      <c r="H556" s="20"/>
      <c r="I556" s="20"/>
      <c r="J556" s="20"/>
      <c r="K556" s="21"/>
      <c r="L556" s="2"/>
    </row>
    <row r="557" spans="1:12" x14ac:dyDescent="0.25">
      <c r="A557" s="58">
        <v>46045</v>
      </c>
      <c r="B557" s="18">
        <v>0.20833333333333334</v>
      </c>
      <c r="C557" s="19"/>
      <c r="D557" s="19"/>
      <c r="E557" s="19"/>
      <c r="F557" s="19"/>
      <c r="G557" s="19"/>
      <c r="H557" s="20"/>
      <c r="I557" s="20"/>
      <c r="J557" s="20"/>
      <c r="K557" s="21"/>
      <c r="L557" s="2"/>
    </row>
    <row r="558" spans="1:12" x14ac:dyDescent="0.25">
      <c r="A558" s="58">
        <v>46045</v>
      </c>
      <c r="B558" s="18">
        <v>0.25</v>
      </c>
      <c r="C558" s="19"/>
      <c r="D558" s="19"/>
      <c r="E558" s="19"/>
      <c r="F558" s="19"/>
      <c r="G558" s="19"/>
      <c r="H558" s="20"/>
      <c r="I558" s="20"/>
      <c r="J558" s="20"/>
      <c r="K558" s="21"/>
      <c r="L558" s="2"/>
    </row>
    <row r="559" spans="1:12" x14ac:dyDescent="0.25">
      <c r="A559" s="58">
        <v>46045</v>
      </c>
      <c r="B559" s="18">
        <v>0.29166666666666669</v>
      </c>
      <c r="C559" s="19"/>
      <c r="D559" s="19"/>
      <c r="E559" s="19"/>
      <c r="F559" s="19"/>
      <c r="G559" s="19"/>
      <c r="H559" s="20"/>
      <c r="I559" s="20"/>
      <c r="J559" s="20"/>
      <c r="K559" s="21"/>
      <c r="L559" s="2"/>
    </row>
    <row r="560" spans="1:12" x14ac:dyDescent="0.25">
      <c r="A560" s="58">
        <v>46045</v>
      </c>
      <c r="B560" s="18">
        <v>0.33333333333333331</v>
      </c>
      <c r="C560" s="19"/>
      <c r="D560" s="19"/>
      <c r="E560" s="19"/>
      <c r="F560" s="19"/>
      <c r="G560" s="19"/>
      <c r="H560" s="20"/>
      <c r="I560" s="20"/>
      <c r="J560" s="20"/>
      <c r="K560" s="21"/>
      <c r="L560" s="2"/>
    </row>
    <row r="561" spans="1:12" x14ac:dyDescent="0.25">
      <c r="A561" s="58">
        <v>46045</v>
      </c>
      <c r="B561" s="18">
        <v>0.375</v>
      </c>
      <c r="C561" s="19"/>
      <c r="D561" s="19"/>
      <c r="E561" s="19"/>
      <c r="F561" s="19"/>
      <c r="G561" s="19"/>
      <c r="H561" s="20"/>
      <c r="I561" s="20"/>
      <c r="J561" s="20"/>
      <c r="K561" s="21"/>
      <c r="L561" s="2"/>
    </row>
    <row r="562" spans="1:12" x14ac:dyDescent="0.25">
      <c r="A562" s="58">
        <v>46045</v>
      </c>
      <c r="B562" s="18">
        <v>0.41666666666666669</v>
      </c>
      <c r="C562" s="19"/>
      <c r="D562" s="19"/>
      <c r="E562" s="19"/>
      <c r="F562" s="19"/>
      <c r="G562" s="19"/>
      <c r="H562" s="20"/>
      <c r="I562" s="20"/>
      <c r="J562" s="20"/>
      <c r="K562" s="21"/>
      <c r="L562" s="2"/>
    </row>
    <row r="563" spans="1:12" x14ac:dyDescent="0.25">
      <c r="A563" s="58">
        <v>46045</v>
      </c>
      <c r="B563" s="18">
        <v>0.45833333333333331</v>
      </c>
      <c r="C563" s="19"/>
      <c r="D563" s="19"/>
      <c r="E563" s="19"/>
      <c r="F563" s="19"/>
      <c r="G563" s="19"/>
      <c r="H563" s="20"/>
      <c r="I563" s="20"/>
      <c r="J563" s="20"/>
      <c r="K563" s="21"/>
      <c r="L563" s="2"/>
    </row>
    <row r="564" spans="1:12" x14ac:dyDescent="0.25">
      <c r="A564" s="58">
        <v>46045</v>
      </c>
      <c r="B564" s="18">
        <v>0.5</v>
      </c>
      <c r="C564" s="19"/>
      <c r="D564" s="19"/>
      <c r="E564" s="19"/>
      <c r="F564" s="19"/>
      <c r="G564" s="19"/>
      <c r="H564" s="20"/>
      <c r="I564" s="20"/>
      <c r="J564" s="20"/>
      <c r="K564" s="21"/>
      <c r="L564" s="2"/>
    </row>
    <row r="565" spans="1:12" x14ac:dyDescent="0.25">
      <c r="A565" s="58">
        <v>46045</v>
      </c>
      <c r="B565" s="18">
        <v>0.54166666666666663</v>
      </c>
      <c r="C565" s="19"/>
      <c r="D565" s="19"/>
      <c r="E565" s="19"/>
      <c r="F565" s="19"/>
      <c r="G565" s="19"/>
      <c r="H565" s="20"/>
      <c r="I565" s="20"/>
      <c r="J565" s="20"/>
      <c r="K565" s="21"/>
      <c r="L565" s="2"/>
    </row>
    <row r="566" spans="1:12" x14ac:dyDescent="0.25">
      <c r="A566" s="58">
        <v>46045</v>
      </c>
      <c r="B566" s="18">
        <v>0.58333333333333337</v>
      </c>
      <c r="C566" s="19"/>
      <c r="D566" s="19"/>
      <c r="E566" s="19"/>
      <c r="F566" s="19"/>
      <c r="G566" s="19"/>
      <c r="H566" s="20"/>
      <c r="I566" s="20"/>
      <c r="J566" s="20"/>
      <c r="K566" s="21"/>
      <c r="L566" s="2"/>
    </row>
    <row r="567" spans="1:12" x14ac:dyDescent="0.25">
      <c r="A567" s="58">
        <v>46045</v>
      </c>
      <c r="B567" s="18">
        <v>0.625</v>
      </c>
      <c r="C567" s="19"/>
      <c r="D567" s="19"/>
      <c r="E567" s="19"/>
      <c r="F567" s="19"/>
      <c r="G567" s="19"/>
      <c r="H567" s="20"/>
      <c r="I567" s="20"/>
      <c r="J567" s="20"/>
      <c r="K567" s="21"/>
      <c r="L567" s="2"/>
    </row>
    <row r="568" spans="1:12" x14ac:dyDescent="0.25">
      <c r="A568" s="58">
        <v>46045</v>
      </c>
      <c r="B568" s="18">
        <v>0.66666666666666663</v>
      </c>
      <c r="C568" s="19"/>
      <c r="D568" s="19"/>
      <c r="E568" s="19"/>
      <c r="F568" s="19"/>
      <c r="G568" s="19"/>
      <c r="H568" s="20"/>
      <c r="I568" s="20"/>
      <c r="J568" s="20"/>
      <c r="K568" s="21"/>
      <c r="L568" s="2"/>
    </row>
    <row r="569" spans="1:12" x14ac:dyDescent="0.25">
      <c r="A569" s="58">
        <v>46045</v>
      </c>
      <c r="B569" s="18">
        <v>0.70833333333333337</v>
      </c>
      <c r="C569" s="19"/>
      <c r="D569" s="19"/>
      <c r="E569" s="19"/>
      <c r="F569" s="19"/>
      <c r="G569" s="19"/>
      <c r="H569" s="20"/>
      <c r="I569" s="20"/>
      <c r="J569" s="20"/>
      <c r="K569" s="21"/>
      <c r="L569" s="2"/>
    </row>
    <row r="570" spans="1:12" x14ac:dyDescent="0.25">
      <c r="A570" s="58">
        <v>46045</v>
      </c>
      <c r="B570" s="18">
        <v>0.75</v>
      </c>
      <c r="C570" s="19"/>
      <c r="D570" s="19"/>
      <c r="E570" s="19"/>
      <c r="F570" s="19"/>
      <c r="G570" s="19"/>
      <c r="H570" s="20"/>
      <c r="I570" s="20"/>
      <c r="J570" s="20"/>
      <c r="K570" s="21"/>
      <c r="L570" s="2"/>
    </row>
    <row r="571" spans="1:12" x14ac:dyDescent="0.25">
      <c r="A571" s="58">
        <v>46045</v>
      </c>
      <c r="B571" s="18">
        <v>0.79166666666666663</v>
      </c>
      <c r="C571" s="19"/>
      <c r="D571" s="19"/>
      <c r="E571" s="19"/>
      <c r="F571" s="19"/>
      <c r="G571" s="19"/>
      <c r="H571" s="20"/>
      <c r="I571" s="20"/>
      <c r="J571" s="20"/>
      <c r="K571" s="21"/>
      <c r="L571" s="2"/>
    </row>
    <row r="572" spans="1:12" x14ac:dyDescent="0.25">
      <c r="A572" s="58">
        <v>46045</v>
      </c>
      <c r="B572" s="18">
        <v>0.83333333333333337</v>
      </c>
      <c r="C572" s="19"/>
      <c r="D572" s="19"/>
      <c r="E572" s="19"/>
      <c r="F572" s="19"/>
      <c r="G572" s="19"/>
      <c r="H572" s="20"/>
      <c r="I572" s="20"/>
      <c r="J572" s="20"/>
      <c r="K572" s="21"/>
      <c r="L572" s="2"/>
    </row>
    <row r="573" spans="1:12" x14ac:dyDescent="0.25">
      <c r="A573" s="58">
        <v>46045</v>
      </c>
      <c r="B573" s="18">
        <v>0.875</v>
      </c>
      <c r="C573" s="19"/>
      <c r="D573" s="19"/>
      <c r="E573" s="19"/>
      <c r="F573" s="19"/>
      <c r="G573" s="19"/>
      <c r="H573" s="20"/>
      <c r="I573" s="20"/>
      <c r="J573" s="20"/>
      <c r="K573" s="21"/>
      <c r="L573" s="2"/>
    </row>
    <row r="574" spans="1:12" x14ac:dyDescent="0.25">
      <c r="A574" s="58">
        <v>46045</v>
      </c>
      <c r="B574" s="18">
        <v>0.91666666666666663</v>
      </c>
      <c r="C574" s="19"/>
      <c r="D574" s="19"/>
      <c r="E574" s="19"/>
      <c r="F574" s="19"/>
      <c r="G574" s="19"/>
      <c r="H574" s="20"/>
      <c r="I574" s="20"/>
      <c r="J574" s="20"/>
      <c r="K574" s="21"/>
      <c r="L574" s="2"/>
    </row>
    <row r="575" spans="1:12" ht="15.75" thickBot="1" x14ac:dyDescent="0.3">
      <c r="A575" s="60">
        <v>46045</v>
      </c>
      <c r="B575" s="35">
        <v>0.95833333333333337</v>
      </c>
      <c r="C575" s="23"/>
      <c r="D575" s="23"/>
      <c r="E575" s="23"/>
      <c r="F575" s="23"/>
      <c r="G575" s="23"/>
      <c r="H575" s="24"/>
      <c r="I575" s="24"/>
      <c r="J575" s="24"/>
      <c r="K575" s="25"/>
      <c r="L575" s="2"/>
    </row>
    <row r="576" spans="1:12" ht="15.75" thickBot="1" x14ac:dyDescent="0.3">
      <c r="A576" s="26" t="s">
        <v>34</v>
      </c>
      <c r="B576" s="44"/>
      <c r="C576" s="45" t="str">
        <f t="shared" ref="C576:K576" si="22">IFERROR(ROUND(AVERAGE(C552:C575), 2), "")</f>
        <v/>
      </c>
      <c r="D576" s="45" t="str">
        <f t="shared" si="22"/>
        <v/>
      </c>
      <c r="E576" s="45" t="str">
        <f t="shared" si="22"/>
        <v/>
      </c>
      <c r="F576" s="45" t="str">
        <f t="shared" si="22"/>
        <v/>
      </c>
      <c r="G576" s="45" t="str">
        <f t="shared" si="22"/>
        <v/>
      </c>
      <c r="H576" s="45" t="str">
        <f t="shared" si="22"/>
        <v/>
      </c>
      <c r="I576" s="45" t="str">
        <f t="shared" si="22"/>
        <v/>
      </c>
      <c r="J576" s="45" t="str">
        <f t="shared" si="22"/>
        <v/>
      </c>
      <c r="K576" s="46" t="str">
        <f t="shared" si="22"/>
        <v/>
      </c>
      <c r="L576" s="7"/>
    </row>
    <row r="577" spans="1:12" x14ac:dyDescent="0.25">
      <c r="A577" s="57">
        <v>46046</v>
      </c>
      <c r="B577" s="14">
        <v>0</v>
      </c>
      <c r="C577" s="15"/>
      <c r="D577" s="15"/>
      <c r="E577" s="15"/>
      <c r="F577" s="15"/>
      <c r="G577" s="15"/>
      <c r="H577" s="16"/>
      <c r="I577" s="16"/>
      <c r="J577" s="16"/>
      <c r="K577" s="17"/>
      <c r="L577" s="2"/>
    </row>
    <row r="578" spans="1:12" x14ac:dyDescent="0.25">
      <c r="A578" s="58">
        <v>46046</v>
      </c>
      <c r="B578" s="18">
        <v>4.1666666666666664E-2</v>
      </c>
      <c r="C578" s="19"/>
      <c r="D578" s="19"/>
      <c r="E578" s="19"/>
      <c r="F578" s="19"/>
      <c r="G578" s="19"/>
      <c r="H578" s="20"/>
      <c r="I578" s="20"/>
      <c r="J578" s="20"/>
      <c r="K578" s="21"/>
      <c r="L578" s="2"/>
    </row>
    <row r="579" spans="1:12" x14ac:dyDescent="0.25">
      <c r="A579" s="58">
        <v>46046</v>
      </c>
      <c r="B579" s="18">
        <v>8.3333333333333329E-2</v>
      </c>
      <c r="C579" s="19"/>
      <c r="D579" s="19"/>
      <c r="E579" s="19"/>
      <c r="F579" s="19"/>
      <c r="G579" s="19"/>
      <c r="H579" s="20"/>
      <c r="I579" s="20"/>
      <c r="J579" s="20"/>
      <c r="K579" s="21"/>
      <c r="L579" s="2"/>
    </row>
    <row r="580" spans="1:12" x14ac:dyDescent="0.25">
      <c r="A580" s="58">
        <v>46046</v>
      </c>
      <c r="B580" s="18">
        <v>0.125</v>
      </c>
      <c r="C580" s="19"/>
      <c r="D580" s="19"/>
      <c r="E580" s="19"/>
      <c r="F580" s="19"/>
      <c r="G580" s="19"/>
      <c r="H580" s="20"/>
      <c r="I580" s="20"/>
      <c r="J580" s="20"/>
      <c r="K580" s="21"/>
      <c r="L580" s="2"/>
    </row>
    <row r="581" spans="1:12" x14ac:dyDescent="0.25">
      <c r="A581" s="58">
        <v>46046</v>
      </c>
      <c r="B581" s="18">
        <v>0.16666666666666666</v>
      </c>
      <c r="C581" s="19"/>
      <c r="D581" s="19"/>
      <c r="E581" s="19"/>
      <c r="F581" s="19"/>
      <c r="G581" s="19"/>
      <c r="H581" s="20"/>
      <c r="I581" s="20"/>
      <c r="J581" s="20"/>
      <c r="K581" s="21"/>
      <c r="L581" s="2"/>
    </row>
    <row r="582" spans="1:12" x14ac:dyDescent="0.25">
      <c r="A582" s="58">
        <v>46046</v>
      </c>
      <c r="B582" s="18">
        <v>0.20833333333333334</v>
      </c>
      <c r="C582" s="19"/>
      <c r="D582" s="19"/>
      <c r="E582" s="19"/>
      <c r="F582" s="19"/>
      <c r="G582" s="19"/>
      <c r="H582" s="20"/>
      <c r="I582" s="20"/>
      <c r="J582" s="20"/>
      <c r="K582" s="21"/>
      <c r="L582" s="2"/>
    </row>
    <row r="583" spans="1:12" x14ac:dyDescent="0.25">
      <c r="A583" s="58">
        <v>46046</v>
      </c>
      <c r="B583" s="18">
        <v>0.25</v>
      </c>
      <c r="C583" s="19"/>
      <c r="D583" s="19"/>
      <c r="E583" s="19"/>
      <c r="F583" s="19"/>
      <c r="G583" s="19"/>
      <c r="H583" s="20"/>
      <c r="I583" s="20"/>
      <c r="J583" s="20"/>
      <c r="K583" s="21"/>
      <c r="L583" s="2"/>
    </row>
    <row r="584" spans="1:12" x14ac:dyDescent="0.25">
      <c r="A584" s="58">
        <v>46046</v>
      </c>
      <c r="B584" s="18">
        <v>0.29166666666666669</v>
      </c>
      <c r="C584" s="19"/>
      <c r="D584" s="19"/>
      <c r="E584" s="19"/>
      <c r="F584" s="19"/>
      <c r="G584" s="19"/>
      <c r="H584" s="20"/>
      <c r="I584" s="20"/>
      <c r="J584" s="20"/>
      <c r="K584" s="21"/>
      <c r="L584" s="2"/>
    </row>
    <row r="585" spans="1:12" x14ac:dyDescent="0.25">
      <c r="A585" s="58">
        <v>46046</v>
      </c>
      <c r="B585" s="18">
        <v>0.33333333333333331</v>
      </c>
      <c r="C585" s="19"/>
      <c r="D585" s="19"/>
      <c r="E585" s="19"/>
      <c r="F585" s="19"/>
      <c r="G585" s="19"/>
      <c r="H585" s="20"/>
      <c r="I585" s="20"/>
      <c r="J585" s="20"/>
      <c r="K585" s="21"/>
      <c r="L585" s="2"/>
    </row>
    <row r="586" spans="1:12" x14ac:dyDescent="0.25">
      <c r="A586" s="58">
        <v>46046</v>
      </c>
      <c r="B586" s="18">
        <v>0.375</v>
      </c>
      <c r="C586" s="19"/>
      <c r="D586" s="19"/>
      <c r="E586" s="19"/>
      <c r="F586" s="19"/>
      <c r="G586" s="19"/>
      <c r="H586" s="20"/>
      <c r="I586" s="20"/>
      <c r="J586" s="20"/>
      <c r="K586" s="21"/>
      <c r="L586" s="2"/>
    </row>
    <row r="587" spans="1:12" x14ac:dyDescent="0.25">
      <c r="A587" s="58">
        <v>46046</v>
      </c>
      <c r="B587" s="18">
        <v>0.41666666666666669</v>
      </c>
      <c r="C587" s="19"/>
      <c r="D587" s="19"/>
      <c r="E587" s="19"/>
      <c r="F587" s="19"/>
      <c r="G587" s="19"/>
      <c r="H587" s="20"/>
      <c r="I587" s="20"/>
      <c r="J587" s="20"/>
      <c r="K587" s="21"/>
      <c r="L587" s="2"/>
    </row>
    <row r="588" spans="1:12" x14ac:dyDescent="0.25">
      <c r="A588" s="58">
        <v>46046</v>
      </c>
      <c r="B588" s="18">
        <v>0.45833333333333331</v>
      </c>
      <c r="C588" s="19"/>
      <c r="D588" s="19"/>
      <c r="E588" s="19"/>
      <c r="F588" s="19"/>
      <c r="G588" s="19"/>
      <c r="H588" s="20"/>
      <c r="I588" s="20"/>
      <c r="J588" s="20"/>
      <c r="K588" s="21"/>
      <c r="L588" s="2"/>
    </row>
    <row r="589" spans="1:12" x14ac:dyDescent="0.25">
      <c r="A589" s="58">
        <v>46046</v>
      </c>
      <c r="B589" s="18">
        <v>0.5</v>
      </c>
      <c r="C589" s="19"/>
      <c r="D589" s="19"/>
      <c r="E589" s="19"/>
      <c r="F589" s="19"/>
      <c r="G589" s="19"/>
      <c r="H589" s="20"/>
      <c r="I589" s="20"/>
      <c r="J589" s="20"/>
      <c r="K589" s="21"/>
      <c r="L589" s="2"/>
    </row>
    <row r="590" spans="1:12" x14ac:dyDescent="0.25">
      <c r="A590" s="58">
        <v>46046</v>
      </c>
      <c r="B590" s="18">
        <v>0.54166666666666663</v>
      </c>
      <c r="C590" s="19"/>
      <c r="D590" s="19"/>
      <c r="E590" s="19"/>
      <c r="F590" s="19"/>
      <c r="G590" s="19"/>
      <c r="H590" s="20"/>
      <c r="I590" s="20"/>
      <c r="J590" s="20"/>
      <c r="K590" s="21"/>
      <c r="L590" s="2"/>
    </row>
    <row r="591" spans="1:12" x14ac:dyDescent="0.25">
      <c r="A591" s="58">
        <v>46046</v>
      </c>
      <c r="B591" s="18">
        <v>0.58333333333333337</v>
      </c>
      <c r="C591" s="19"/>
      <c r="D591" s="19"/>
      <c r="E591" s="19"/>
      <c r="F591" s="19"/>
      <c r="G591" s="19"/>
      <c r="H591" s="20"/>
      <c r="I591" s="20"/>
      <c r="J591" s="20"/>
      <c r="K591" s="21"/>
      <c r="L591" s="2"/>
    </row>
    <row r="592" spans="1:12" x14ac:dyDescent="0.25">
      <c r="A592" s="58">
        <v>46046</v>
      </c>
      <c r="B592" s="18">
        <v>0.625</v>
      </c>
      <c r="C592" s="19"/>
      <c r="D592" s="19"/>
      <c r="E592" s="19"/>
      <c r="F592" s="19"/>
      <c r="G592" s="19"/>
      <c r="H592" s="20"/>
      <c r="I592" s="20"/>
      <c r="J592" s="20"/>
      <c r="K592" s="21"/>
      <c r="L592" s="2"/>
    </row>
    <row r="593" spans="1:12" x14ac:dyDescent="0.25">
      <c r="A593" s="58">
        <v>46046</v>
      </c>
      <c r="B593" s="18">
        <v>0.66666666666666663</v>
      </c>
      <c r="C593" s="19"/>
      <c r="D593" s="19"/>
      <c r="E593" s="19"/>
      <c r="F593" s="19"/>
      <c r="G593" s="19"/>
      <c r="H593" s="20"/>
      <c r="I593" s="20"/>
      <c r="J593" s="20"/>
      <c r="K593" s="21"/>
      <c r="L593" s="2"/>
    </row>
    <row r="594" spans="1:12" x14ac:dyDescent="0.25">
      <c r="A594" s="58">
        <v>46046</v>
      </c>
      <c r="B594" s="18">
        <v>0.70833333333333337</v>
      </c>
      <c r="C594" s="19"/>
      <c r="D594" s="19"/>
      <c r="E594" s="19"/>
      <c r="F594" s="19"/>
      <c r="G594" s="19"/>
      <c r="H594" s="20"/>
      <c r="I594" s="20"/>
      <c r="J594" s="20"/>
      <c r="K594" s="21"/>
      <c r="L594" s="2"/>
    </row>
    <row r="595" spans="1:12" x14ac:dyDescent="0.25">
      <c r="A595" s="58">
        <v>46046</v>
      </c>
      <c r="B595" s="18">
        <v>0.75</v>
      </c>
      <c r="C595" s="19"/>
      <c r="D595" s="19"/>
      <c r="E595" s="19"/>
      <c r="F595" s="19"/>
      <c r="G595" s="19"/>
      <c r="H595" s="20"/>
      <c r="I595" s="20"/>
      <c r="J595" s="20"/>
      <c r="K595" s="21"/>
      <c r="L595" s="2"/>
    </row>
    <row r="596" spans="1:12" x14ac:dyDescent="0.25">
      <c r="A596" s="58">
        <v>46046</v>
      </c>
      <c r="B596" s="18">
        <v>0.79166666666666663</v>
      </c>
      <c r="C596" s="19"/>
      <c r="D596" s="19"/>
      <c r="E596" s="19"/>
      <c r="F596" s="19"/>
      <c r="G596" s="19"/>
      <c r="H596" s="20"/>
      <c r="I596" s="20"/>
      <c r="J596" s="20"/>
      <c r="K596" s="21"/>
      <c r="L596" s="2"/>
    </row>
    <row r="597" spans="1:12" x14ac:dyDescent="0.25">
      <c r="A597" s="58">
        <v>46046</v>
      </c>
      <c r="B597" s="18">
        <v>0.83333333333333337</v>
      </c>
      <c r="C597" s="19"/>
      <c r="D597" s="19"/>
      <c r="E597" s="19"/>
      <c r="F597" s="19"/>
      <c r="G597" s="19"/>
      <c r="H597" s="20"/>
      <c r="I597" s="20"/>
      <c r="J597" s="20"/>
      <c r="K597" s="21"/>
      <c r="L597" s="2"/>
    </row>
    <row r="598" spans="1:12" x14ac:dyDescent="0.25">
      <c r="A598" s="58">
        <v>46046</v>
      </c>
      <c r="B598" s="18">
        <v>0.875</v>
      </c>
      <c r="C598" s="19"/>
      <c r="D598" s="19"/>
      <c r="E598" s="19"/>
      <c r="F598" s="19"/>
      <c r="G598" s="19"/>
      <c r="H598" s="20"/>
      <c r="I598" s="20"/>
      <c r="J598" s="20"/>
      <c r="K598" s="21"/>
      <c r="L598" s="2"/>
    </row>
    <row r="599" spans="1:12" x14ac:dyDescent="0.25">
      <c r="A599" s="58">
        <v>46046</v>
      </c>
      <c r="B599" s="18">
        <v>0.91666666666666663</v>
      </c>
      <c r="C599" s="19"/>
      <c r="D599" s="19"/>
      <c r="E599" s="19"/>
      <c r="F599" s="19"/>
      <c r="G599" s="19"/>
      <c r="H599" s="20"/>
      <c r="I599" s="20"/>
      <c r="J599" s="20"/>
      <c r="K599" s="21"/>
      <c r="L599" s="2"/>
    </row>
    <row r="600" spans="1:12" ht="15.75" thickBot="1" x14ac:dyDescent="0.3">
      <c r="A600" s="60">
        <v>46046</v>
      </c>
      <c r="B600" s="35">
        <v>0.95833333333333337</v>
      </c>
      <c r="C600" s="23"/>
      <c r="D600" s="23"/>
      <c r="E600" s="23"/>
      <c r="F600" s="23"/>
      <c r="G600" s="23"/>
      <c r="H600" s="24"/>
      <c r="I600" s="24"/>
      <c r="J600" s="24"/>
      <c r="K600" s="25"/>
      <c r="L600" s="2"/>
    </row>
    <row r="601" spans="1:12" ht="15.75" thickBot="1" x14ac:dyDescent="0.3">
      <c r="A601" s="26" t="s">
        <v>35</v>
      </c>
      <c r="B601" s="44"/>
      <c r="C601" s="45" t="str">
        <f t="shared" ref="C601:K601" si="23">IFERROR(ROUND(AVERAGE(C577:C600), 2), "")</f>
        <v/>
      </c>
      <c r="D601" s="45" t="str">
        <f t="shared" si="23"/>
        <v/>
      </c>
      <c r="E601" s="45" t="str">
        <f t="shared" si="23"/>
        <v/>
      </c>
      <c r="F601" s="45" t="str">
        <f t="shared" si="23"/>
        <v/>
      </c>
      <c r="G601" s="45" t="str">
        <f t="shared" si="23"/>
        <v/>
      </c>
      <c r="H601" s="45" t="str">
        <f t="shared" si="23"/>
        <v/>
      </c>
      <c r="I601" s="45" t="str">
        <f t="shared" si="23"/>
        <v/>
      </c>
      <c r="J601" s="45" t="str">
        <f t="shared" si="23"/>
        <v/>
      </c>
      <c r="K601" s="46" t="str">
        <f t="shared" si="23"/>
        <v/>
      </c>
      <c r="L601" s="7"/>
    </row>
    <row r="602" spans="1:12" x14ac:dyDescent="0.25">
      <c r="A602" s="57">
        <v>46047</v>
      </c>
      <c r="B602" s="14">
        <v>0</v>
      </c>
      <c r="C602" s="15"/>
      <c r="D602" s="15"/>
      <c r="E602" s="15"/>
      <c r="F602" s="15"/>
      <c r="G602" s="15"/>
      <c r="H602" s="16"/>
      <c r="I602" s="16"/>
      <c r="J602" s="16"/>
      <c r="K602" s="17"/>
      <c r="L602" s="2"/>
    </row>
    <row r="603" spans="1:12" x14ac:dyDescent="0.25">
      <c r="A603" s="58">
        <v>46047</v>
      </c>
      <c r="B603" s="18">
        <v>4.1666666666666664E-2</v>
      </c>
      <c r="C603" s="19"/>
      <c r="D603" s="19"/>
      <c r="E603" s="19"/>
      <c r="F603" s="19"/>
      <c r="G603" s="19"/>
      <c r="H603" s="20"/>
      <c r="I603" s="20"/>
      <c r="J603" s="20"/>
      <c r="K603" s="21"/>
      <c r="L603" s="2"/>
    </row>
    <row r="604" spans="1:12" x14ac:dyDescent="0.25">
      <c r="A604" s="58">
        <v>46047</v>
      </c>
      <c r="B604" s="18">
        <v>8.3333333333333329E-2</v>
      </c>
      <c r="C604" s="19"/>
      <c r="D604" s="19"/>
      <c r="E604" s="19"/>
      <c r="F604" s="19"/>
      <c r="G604" s="19"/>
      <c r="H604" s="20"/>
      <c r="I604" s="20"/>
      <c r="J604" s="20"/>
      <c r="K604" s="21"/>
      <c r="L604" s="2"/>
    </row>
    <row r="605" spans="1:12" x14ac:dyDescent="0.25">
      <c r="A605" s="58">
        <v>46047</v>
      </c>
      <c r="B605" s="18">
        <v>0.125</v>
      </c>
      <c r="C605" s="19"/>
      <c r="D605" s="19"/>
      <c r="E605" s="19"/>
      <c r="F605" s="19"/>
      <c r="G605" s="19"/>
      <c r="H605" s="20"/>
      <c r="I605" s="20"/>
      <c r="J605" s="20"/>
      <c r="K605" s="21"/>
      <c r="L605" s="2"/>
    </row>
    <row r="606" spans="1:12" x14ac:dyDescent="0.25">
      <c r="A606" s="58">
        <v>46047</v>
      </c>
      <c r="B606" s="18">
        <v>0.16666666666666666</v>
      </c>
      <c r="C606" s="19"/>
      <c r="D606" s="19"/>
      <c r="E606" s="19"/>
      <c r="F606" s="19"/>
      <c r="G606" s="19"/>
      <c r="H606" s="20"/>
      <c r="I606" s="20"/>
      <c r="J606" s="20"/>
      <c r="K606" s="21"/>
      <c r="L606" s="2"/>
    </row>
    <row r="607" spans="1:12" x14ac:dyDescent="0.25">
      <c r="A607" s="58">
        <v>46047</v>
      </c>
      <c r="B607" s="18">
        <v>0.20833333333333334</v>
      </c>
      <c r="C607" s="19"/>
      <c r="D607" s="19"/>
      <c r="E607" s="19"/>
      <c r="F607" s="19"/>
      <c r="G607" s="19"/>
      <c r="H607" s="20"/>
      <c r="I607" s="20"/>
      <c r="J607" s="20"/>
      <c r="K607" s="21"/>
      <c r="L607" s="2"/>
    </row>
    <row r="608" spans="1:12" x14ac:dyDescent="0.25">
      <c r="A608" s="58">
        <v>46047</v>
      </c>
      <c r="B608" s="18">
        <v>0.25</v>
      </c>
      <c r="C608" s="19"/>
      <c r="D608" s="19"/>
      <c r="E608" s="19"/>
      <c r="F608" s="19"/>
      <c r="G608" s="19"/>
      <c r="H608" s="20"/>
      <c r="I608" s="20"/>
      <c r="J608" s="20"/>
      <c r="K608" s="21"/>
      <c r="L608" s="2"/>
    </row>
    <row r="609" spans="1:12" x14ac:dyDescent="0.25">
      <c r="A609" s="58">
        <v>46047</v>
      </c>
      <c r="B609" s="18">
        <v>0.29166666666666669</v>
      </c>
      <c r="C609" s="19"/>
      <c r="D609" s="19"/>
      <c r="E609" s="19"/>
      <c r="F609" s="19"/>
      <c r="G609" s="19"/>
      <c r="H609" s="20"/>
      <c r="I609" s="20"/>
      <c r="J609" s="20"/>
      <c r="K609" s="21"/>
      <c r="L609" s="2"/>
    </row>
    <row r="610" spans="1:12" x14ac:dyDescent="0.25">
      <c r="A610" s="58">
        <v>46047</v>
      </c>
      <c r="B610" s="18">
        <v>0.33333333333333331</v>
      </c>
      <c r="C610" s="19"/>
      <c r="D610" s="19"/>
      <c r="E610" s="19"/>
      <c r="F610" s="19"/>
      <c r="G610" s="19"/>
      <c r="H610" s="20"/>
      <c r="I610" s="20"/>
      <c r="J610" s="20"/>
      <c r="K610" s="21"/>
      <c r="L610" s="2"/>
    </row>
    <row r="611" spans="1:12" x14ac:dyDescent="0.25">
      <c r="A611" s="58">
        <v>46047</v>
      </c>
      <c r="B611" s="18">
        <v>0.375</v>
      </c>
      <c r="C611" s="19"/>
      <c r="D611" s="19"/>
      <c r="E611" s="19"/>
      <c r="F611" s="19"/>
      <c r="G611" s="19"/>
      <c r="H611" s="20"/>
      <c r="I611" s="20"/>
      <c r="J611" s="20"/>
      <c r="K611" s="21"/>
      <c r="L611" s="2"/>
    </row>
    <row r="612" spans="1:12" x14ac:dyDescent="0.25">
      <c r="A612" s="58">
        <v>46047</v>
      </c>
      <c r="B612" s="18">
        <v>0.41666666666666669</v>
      </c>
      <c r="C612" s="19"/>
      <c r="D612" s="19"/>
      <c r="E612" s="19"/>
      <c r="F612" s="19"/>
      <c r="G612" s="19"/>
      <c r="H612" s="20"/>
      <c r="I612" s="20"/>
      <c r="J612" s="20"/>
      <c r="K612" s="21"/>
      <c r="L612" s="2"/>
    </row>
    <row r="613" spans="1:12" x14ac:dyDescent="0.25">
      <c r="A613" s="58">
        <v>46047</v>
      </c>
      <c r="B613" s="18">
        <v>0.45833333333333331</v>
      </c>
      <c r="C613" s="19"/>
      <c r="D613" s="19"/>
      <c r="E613" s="19"/>
      <c r="F613" s="19"/>
      <c r="G613" s="19"/>
      <c r="H613" s="20"/>
      <c r="I613" s="20"/>
      <c r="J613" s="20"/>
      <c r="K613" s="21"/>
      <c r="L613" s="2"/>
    </row>
    <row r="614" spans="1:12" x14ac:dyDescent="0.25">
      <c r="A614" s="58">
        <v>46047</v>
      </c>
      <c r="B614" s="18">
        <v>0.5</v>
      </c>
      <c r="C614" s="19"/>
      <c r="D614" s="19"/>
      <c r="E614" s="19"/>
      <c r="F614" s="19"/>
      <c r="G614" s="19"/>
      <c r="H614" s="20"/>
      <c r="I614" s="20"/>
      <c r="J614" s="20"/>
      <c r="K614" s="21"/>
      <c r="L614" s="2"/>
    </row>
    <row r="615" spans="1:12" x14ac:dyDescent="0.25">
      <c r="A615" s="58">
        <v>46047</v>
      </c>
      <c r="B615" s="18">
        <v>0.54166666666666663</v>
      </c>
      <c r="C615" s="19"/>
      <c r="D615" s="19"/>
      <c r="E615" s="19"/>
      <c r="F615" s="19"/>
      <c r="G615" s="19"/>
      <c r="H615" s="20"/>
      <c r="I615" s="20"/>
      <c r="J615" s="20"/>
      <c r="K615" s="21"/>
      <c r="L615" s="2"/>
    </row>
    <row r="616" spans="1:12" x14ac:dyDescent="0.25">
      <c r="A616" s="58">
        <v>46047</v>
      </c>
      <c r="B616" s="18">
        <v>0.58333333333333337</v>
      </c>
      <c r="C616" s="19"/>
      <c r="D616" s="19"/>
      <c r="E616" s="19"/>
      <c r="F616" s="19"/>
      <c r="G616" s="19"/>
      <c r="H616" s="20"/>
      <c r="I616" s="20"/>
      <c r="J616" s="20"/>
      <c r="K616" s="21"/>
      <c r="L616" s="2"/>
    </row>
    <row r="617" spans="1:12" x14ac:dyDescent="0.25">
      <c r="A617" s="58">
        <v>46047</v>
      </c>
      <c r="B617" s="18">
        <v>0.625</v>
      </c>
      <c r="C617" s="19"/>
      <c r="D617" s="19"/>
      <c r="E617" s="19"/>
      <c r="F617" s="19"/>
      <c r="G617" s="19"/>
      <c r="H617" s="20"/>
      <c r="I617" s="20"/>
      <c r="J617" s="20"/>
      <c r="K617" s="21"/>
      <c r="L617" s="2"/>
    </row>
    <row r="618" spans="1:12" x14ac:dyDescent="0.25">
      <c r="A618" s="58">
        <v>46047</v>
      </c>
      <c r="B618" s="18">
        <v>0.66666666666666663</v>
      </c>
      <c r="C618" s="19"/>
      <c r="D618" s="19"/>
      <c r="E618" s="19"/>
      <c r="F618" s="19"/>
      <c r="G618" s="19"/>
      <c r="H618" s="20"/>
      <c r="I618" s="20"/>
      <c r="J618" s="20"/>
      <c r="K618" s="21"/>
      <c r="L618" s="2"/>
    </row>
    <row r="619" spans="1:12" x14ac:dyDescent="0.25">
      <c r="A619" s="58">
        <v>46047</v>
      </c>
      <c r="B619" s="18">
        <v>0.70833333333333337</v>
      </c>
      <c r="C619" s="19"/>
      <c r="D619" s="19"/>
      <c r="E619" s="19"/>
      <c r="F619" s="19"/>
      <c r="G619" s="19"/>
      <c r="H619" s="20"/>
      <c r="I619" s="20"/>
      <c r="J619" s="20"/>
      <c r="K619" s="21"/>
      <c r="L619" s="2"/>
    </row>
    <row r="620" spans="1:12" x14ac:dyDescent="0.25">
      <c r="A620" s="58">
        <v>46047</v>
      </c>
      <c r="B620" s="18">
        <v>0.75</v>
      </c>
      <c r="C620" s="19"/>
      <c r="D620" s="19"/>
      <c r="E620" s="19"/>
      <c r="F620" s="19"/>
      <c r="G620" s="19"/>
      <c r="H620" s="20"/>
      <c r="I620" s="20"/>
      <c r="J620" s="20"/>
      <c r="K620" s="21"/>
      <c r="L620" s="2"/>
    </row>
    <row r="621" spans="1:12" x14ac:dyDescent="0.25">
      <c r="A621" s="58">
        <v>46047</v>
      </c>
      <c r="B621" s="18">
        <v>0.79166666666666663</v>
      </c>
      <c r="C621" s="19"/>
      <c r="D621" s="19"/>
      <c r="E621" s="19"/>
      <c r="F621" s="19"/>
      <c r="G621" s="19"/>
      <c r="H621" s="20"/>
      <c r="I621" s="20"/>
      <c r="J621" s="20"/>
      <c r="K621" s="21"/>
      <c r="L621" s="2"/>
    </row>
    <row r="622" spans="1:12" x14ac:dyDescent="0.25">
      <c r="A622" s="58">
        <v>46047</v>
      </c>
      <c r="B622" s="18">
        <v>0.83333333333333337</v>
      </c>
      <c r="C622" s="19"/>
      <c r="D622" s="19"/>
      <c r="E622" s="19"/>
      <c r="F622" s="19"/>
      <c r="G622" s="19"/>
      <c r="H622" s="20"/>
      <c r="I622" s="20"/>
      <c r="J622" s="20"/>
      <c r="K622" s="21"/>
      <c r="L622" s="2"/>
    </row>
    <row r="623" spans="1:12" x14ac:dyDescent="0.25">
      <c r="A623" s="58">
        <v>46047</v>
      </c>
      <c r="B623" s="18">
        <v>0.875</v>
      </c>
      <c r="C623" s="19"/>
      <c r="D623" s="19"/>
      <c r="E623" s="19"/>
      <c r="F623" s="19"/>
      <c r="G623" s="19"/>
      <c r="H623" s="20"/>
      <c r="I623" s="20"/>
      <c r="J623" s="20"/>
      <c r="K623" s="21"/>
      <c r="L623" s="2"/>
    </row>
    <row r="624" spans="1:12" x14ac:dyDescent="0.25">
      <c r="A624" s="58">
        <v>46047</v>
      </c>
      <c r="B624" s="18">
        <v>0.91666666666666663</v>
      </c>
      <c r="C624" s="19"/>
      <c r="D624" s="19"/>
      <c r="E624" s="19"/>
      <c r="F624" s="19"/>
      <c r="G624" s="19"/>
      <c r="H624" s="20"/>
      <c r="I624" s="20"/>
      <c r="J624" s="20"/>
      <c r="K624" s="21"/>
      <c r="L624" s="2"/>
    </row>
    <row r="625" spans="1:12" ht="15.75" thickBot="1" x14ac:dyDescent="0.3">
      <c r="A625" s="60">
        <v>46047</v>
      </c>
      <c r="B625" s="35">
        <v>0.95833333333333337</v>
      </c>
      <c r="C625" s="23"/>
      <c r="D625" s="23"/>
      <c r="E625" s="23"/>
      <c r="F625" s="23"/>
      <c r="G625" s="23"/>
      <c r="H625" s="24"/>
      <c r="I625" s="24"/>
      <c r="J625" s="24"/>
      <c r="K625" s="25"/>
      <c r="L625" s="2"/>
    </row>
    <row r="626" spans="1:12" ht="15.75" thickBot="1" x14ac:dyDescent="0.3">
      <c r="A626" s="26" t="s">
        <v>36</v>
      </c>
      <c r="B626" s="44"/>
      <c r="C626" s="45" t="str">
        <f t="shared" ref="C626:K626" si="24">IFERROR(ROUND(AVERAGE(C602:C625), 2), "")</f>
        <v/>
      </c>
      <c r="D626" s="45" t="str">
        <f t="shared" si="24"/>
        <v/>
      </c>
      <c r="E626" s="45" t="str">
        <f t="shared" si="24"/>
        <v/>
      </c>
      <c r="F626" s="45" t="str">
        <f t="shared" si="24"/>
        <v/>
      </c>
      <c r="G626" s="45" t="str">
        <f t="shared" si="24"/>
        <v/>
      </c>
      <c r="H626" s="45" t="str">
        <f t="shared" si="24"/>
        <v/>
      </c>
      <c r="I626" s="45" t="str">
        <f t="shared" si="24"/>
        <v/>
      </c>
      <c r="J626" s="45" t="str">
        <f t="shared" si="24"/>
        <v/>
      </c>
      <c r="K626" s="46" t="str">
        <f t="shared" si="24"/>
        <v/>
      </c>
      <c r="L626" s="7"/>
    </row>
    <row r="627" spans="1:12" x14ac:dyDescent="0.25">
      <c r="A627" s="57">
        <v>46048</v>
      </c>
      <c r="B627" s="14">
        <v>0</v>
      </c>
      <c r="C627" s="15"/>
      <c r="D627" s="15"/>
      <c r="E627" s="15"/>
      <c r="F627" s="15"/>
      <c r="G627" s="15"/>
      <c r="H627" s="16"/>
      <c r="I627" s="16"/>
      <c r="J627" s="16"/>
      <c r="K627" s="17"/>
      <c r="L627" s="2"/>
    </row>
    <row r="628" spans="1:12" x14ac:dyDescent="0.25">
      <c r="A628" s="58">
        <v>46048</v>
      </c>
      <c r="B628" s="18">
        <v>4.1666666666666664E-2</v>
      </c>
      <c r="C628" s="19"/>
      <c r="D628" s="19"/>
      <c r="E628" s="19"/>
      <c r="F628" s="19"/>
      <c r="G628" s="19"/>
      <c r="H628" s="20"/>
      <c r="I628" s="20"/>
      <c r="J628" s="20"/>
      <c r="K628" s="21"/>
      <c r="L628" s="2"/>
    </row>
    <row r="629" spans="1:12" x14ac:dyDescent="0.25">
      <c r="A629" s="58">
        <v>46048</v>
      </c>
      <c r="B629" s="18">
        <v>8.3333333333333329E-2</v>
      </c>
      <c r="C629" s="19"/>
      <c r="D629" s="19"/>
      <c r="E629" s="19"/>
      <c r="F629" s="19"/>
      <c r="G629" s="19"/>
      <c r="H629" s="20"/>
      <c r="I629" s="20"/>
      <c r="J629" s="20"/>
      <c r="K629" s="21"/>
      <c r="L629" s="2"/>
    </row>
    <row r="630" spans="1:12" x14ac:dyDescent="0.25">
      <c r="A630" s="58">
        <v>46048</v>
      </c>
      <c r="B630" s="18">
        <v>0.125</v>
      </c>
      <c r="C630" s="19"/>
      <c r="D630" s="19"/>
      <c r="E630" s="19"/>
      <c r="F630" s="19"/>
      <c r="G630" s="19"/>
      <c r="H630" s="20"/>
      <c r="I630" s="20"/>
      <c r="J630" s="20"/>
      <c r="K630" s="21"/>
      <c r="L630" s="2"/>
    </row>
    <row r="631" spans="1:12" x14ac:dyDescent="0.25">
      <c r="A631" s="58">
        <v>46048</v>
      </c>
      <c r="B631" s="18">
        <v>0.16666666666666666</v>
      </c>
      <c r="C631" s="19"/>
      <c r="D631" s="19"/>
      <c r="E631" s="19"/>
      <c r="F631" s="19"/>
      <c r="G631" s="19"/>
      <c r="H631" s="20"/>
      <c r="I631" s="20"/>
      <c r="J631" s="20"/>
      <c r="K631" s="21"/>
      <c r="L631" s="2"/>
    </row>
    <row r="632" spans="1:12" x14ac:dyDescent="0.25">
      <c r="A632" s="58">
        <v>46048</v>
      </c>
      <c r="B632" s="18">
        <v>0.20833333333333334</v>
      </c>
      <c r="C632" s="19"/>
      <c r="D632" s="19"/>
      <c r="E632" s="19"/>
      <c r="F632" s="19"/>
      <c r="G632" s="19"/>
      <c r="H632" s="20"/>
      <c r="I632" s="20"/>
      <c r="J632" s="20"/>
      <c r="K632" s="21"/>
      <c r="L632" s="2"/>
    </row>
    <row r="633" spans="1:12" x14ac:dyDescent="0.25">
      <c r="A633" s="58">
        <v>46048</v>
      </c>
      <c r="B633" s="18">
        <v>0.25</v>
      </c>
      <c r="C633" s="19"/>
      <c r="D633" s="19"/>
      <c r="E633" s="19"/>
      <c r="F633" s="19"/>
      <c r="G633" s="19"/>
      <c r="H633" s="20"/>
      <c r="I633" s="20"/>
      <c r="J633" s="20"/>
      <c r="K633" s="21"/>
      <c r="L633" s="2"/>
    </row>
    <row r="634" spans="1:12" x14ac:dyDescent="0.25">
      <c r="A634" s="58">
        <v>46048</v>
      </c>
      <c r="B634" s="18">
        <v>0.29166666666666669</v>
      </c>
      <c r="C634" s="19"/>
      <c r="D634" s="19"/>
      <c r="E634" s="19"/>
      <c r="F634" s="19"/>
      <c r="G634" s="19"/>
      <c r="H634" s="20"/>
      <c r="I634" s="20"/>
      <c r="J634" s="20"/>
      <c r="K634" s="21"/>
      <c r="L634" s="2"/>
    </row>
    <row r="635" spans="1:12" x14ac:dyDescent="0.25">
      <c r="A635" s="58">
        <v>46048</v>
      </c>
      <c r="B635" s="18">
        <v>0.33333333333333331</v>
      </c>
      <c r="C635" s="19"/>
      <c r="D635" s="19"/>
      <c r="E635" s="19"/>
      <c r="F635" s="19"/>
      <c r="G635" s="19"/>
      <c r="H635" s="20"/>
      <c r="I635" s="20"/>
      <c r="J635" s="20"/>
      <c r="K635" s="21"/>
      <c r="L635" s="2"/>
    </row>
    <row r="636" spans="1:12" x14ac:dyDescent="0.25">
      <c r="A636" s="58">
        <v>46048</v>
      </c>
      <c r="B636" s="18">
        <v>0.375</v>
      </c>
      <c r="C636" s="19"/>
      <c r="D636" s="19"/>
      <c r="E636" s="19"/>
      <c r="F636" s="19"/>
      <c r="G636" s="19"/>
      <c r="H636" s="20"/>
      <c r="I636" s="20"/>
      <c r="J636" s="20"/>
      <c r="K636" s="21"/>
      <c r="L636" s="2"/>
    </row>
    <row r="637" spans="1:12" x14ac:dyDescent="0.25">
      <c r="A637" s="58">
        <v>46048</v>
      </c>
      <c r="B637" s="18">
        <v>0.41666666666666669</v>
      </c>
      <c r="C637" s="19"/>
      <c r="D637" s="19"/>
      <c r="E637" s="19"/>
      <c r="F637" s="19"/>
      <c r="G637" s="19"/>
      <c r="H637" s="20"/>
      <c r="I637" s="20"/>
      <c r="J637" s="20"/>
      <c r="K637" s="21"/>
      <c r="L637" s="2"/>
    </row>
    <row r="638" spans="1:12" x14ac:dyDescent="0.25">
      <c r="A638" s="58">
        <v>46048</v>
      </c>
      <c r="B638" s="18">
        <v>0.45833333333333331</v>
      </c>
      <c r="C638" s="19"/>
      <c r="D638" s="19"/>
      <c r="E638" s="19"/>
      <c r="F638" s="19"/>
      <c r="G638" s="19"/>
      <c r="H638" s="20"/>
      <c r="I638" s="20"/>
      <c r="J638" s="20"/>
      <c r="K638" s="21"/>
      <c r="L638" s="2"/>
    </row>
    <row r="639" spans="1:12" x14ac:dyDescent="0.25">
      <c r="A639" s="58">
        <v>46048</v>
      </c>
      <c r="B639" s="18">
        <v>0.5</v>
      </c>
      <c r="C639" s="19"/>
      <c r="D639" s="19"/>
      <c r="E639" s="19"/>
      <c r="F639" s="19"/>
      <c r="G639" s="19"/>
      <c r="H639" s="20"/>
      <c r="I639" s="20"/>
      <c r="J639" s="20"/>
      <c r="K639" s="21"/>
      <c r="L639" s="2"/>
    </row>
    <row r="640" spans="1:12" x14ac:dyDescent="0.25">
      <c r="A640" s="58">
        <v>46048</v>
      </c>
      <c r="B640" s="18">
        <v>0.54166666666666663</v>
      </c>
      <c r="C640" s="19"/>
      <c r="D640" s="19"/>
      <c r="E640" s="19"/>
      <c r="F640" s="19"/>
      <c r="G640" s="19"/>
      <c r="H640" s="20"/>
      <c r="I640" s="20"/>
      <c r="J640" s="20"/>
      <c r="K640" s="21"/>
      <c r="L640" s="2"/>
    </row>
    <row r="641" spans="1:12" x14ac:dyDescent="0.25">
      <c r="A641" s="58">
        <v>46048</v>
      </c>
      <c r="B641" s="18">
        <v>0.58333333333333337</v>
      </c>
      <c r="C641" s="19"/>
      <c r="D641" s="19"/>
      <c r="E641" s="19"/>
      <c r="F641" s="19"/>
      <c r="G641" s="19"/>
      <c r="H641" s="20"/>
      <c r="I641" s="20"/>
      <c r="J641" s="20"/>
      <c r="K641" s="21"/>
      <c r="L641" s="2"/>
    </row>
    <row r="642" spans="1:12" x14ac:dyDescent="0.25">
      <c r="A642" s="58">
        <v>46048</v>
      </c>
      <c r="B642" s="18">
        <v>0.625</v>
      </c>
      <c r="C642" s="19"/>
      <c r="D642" s="19"/>
      <c r="E642" s="19"/>
      <c r="F642" s="19"/>
      <c r="G642" s="19"/>
      <c r="H642" s="20"/>
      <c r="I642" s="20"/>
      <c r="J642" s="20"/>
      <c r="K642" s="21"/>
      <c r="L642" s="2"/>
    </row>
    <row r="643" spans="1:12" x14ac:dyDescent="0.25">
      <c r="A643" s="58">
        <v>46048</v>
      </c>
      <c r="B643" s="18">
        <v>0.66666666666666663</v>
      </c>
      <c r="C643" s="19"/>
      <c r="D643" s="19"/>
      <c r="E643" s="19"/>
      <c r="F643" s="19"/>
      <c r="G643" s="19"/>
      <c r="H643" s="20"/>
      <c r="I643" s="20"/>
      <c r="J643" s="20"/>
      <c r="K643" s="21"/>
      <c r="L643" s="2"/>
    </row>
    <row r="644" spans="1:12" x14ac:dyDescent="0.25">
      <c r="A644" s="58">
        <v>46048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8">
        <v>46048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8">
        <v>46048</v>
      </c>
      <c r="B646" s="18">
        <v>0.79166666666666663</v>
      </c>
      <c r="C646" s="19"/>
      <c r="D646" s="19"/>
      <c r="E646" s="19"/>
      <c r="F646" s="19"/>
      <c r="G646" s="19"/>
      <c r="H646" s="20"/>
      <c r="I646" s="20"/>
      <c r="J646" s="20"/>
      <c r="K646" s="21"/>
      <c r="L646" s="2"/>
    </row>
    <row r="647" spans="1:12" x14ac:dyDescent="0.25">
      <c r="A647" s="58">
        <v>46048</v>
      </c>
      <c r="B647" s="18">
        <v>0.83333333333333337</v>
      </c>
      <c r="C647" s="19"/>
      <c r="D647" s="19"/>
      <c r="E647" s="19"/>
      <c r="F647" s="19"/>
      <c r="G647" s="19"/>
      <c r="H647" s="20"/>
      <c r="I647" s="20"/>
      <c r="J647" s="20"/>
      <c r="K647" s="21"/>
      <c r="L647" s="2"/>
    </row>
    <row r="648" spans="1:12" x14ac:dyDescent="0.25">
      <c r="A648" s="58">
        <v>46048</v>
      </c>
      <c r="B648" s="18">
        <v>0.875</v>
      </c>
      <c r="C648" s="19"/>
      <c r="D648" s="19"/>
      <c r="E648" s="19"/>
      <c r="F648" s="19"/>
      <c r="G648" s="19"/>
      <c r="H648" s="20"/>
      <c r="I648" s="20"/>
      <c r="J648" s="20"/>
      <c r="K648" s="21"/>
      <c r="L648" s="2"/>
    </row>
    <row r="649" spans="1:12" x14ac:dyDescent="0.25">
      <c r="A649" s="58">
        <v>46048</v>
      </c>
      <c r="B649" s="18">
        <v>0.91666666666666663</v>
      </c>
      <c r="C649" s="19"/>
      <c r="D649" s="19"/>
      <c r="E649" s="19"/>
      <c r="F649" s="19"/>
      <c r="G649" s="19"/>
      <c r="H649" s="20"/>
      <c r="I649" s="20"/>
      <c r="J649" s="20"/>
      <c r="K649" s="21"/>
      <c r="L649" s="2"/>
    </row>
    <row r="650" spans="1:12" ht="15.75" thickBot="1" x14ac:dyDescent="0.3">
      <c r="A650" s="60">
        <v>46048</v>
      </c>
      <c r="B650" s="35">
        <v>0.95833333333333337</v>
      </c>
      <c r="C650" s="23"/>
      <c r="D650" s="23"/>
      <c r="E650" s="23"/>
      <c r="F650" s="23"/>
      <c r="G650" s="23"/>
      <c r="H650" s="24"/>
      <c r="I650" s="24"/>
      <c r="J650" s="24"/>
      <c r="K650" s="25"/>
      <c r="L650" s="2"/>
    </row>
    <row r="651" spans="1:12" ht="15.75" thickBot="1" x14ac:dyDescent="0.3">
      <c r="A651" s="26" t="s">
        <v>37</v>
      </c>
      <c r="B651" s="44"/>
      <c r="C651" s="45" t="str">
        <f t="shared" ref="C651:K651" si="25">IFERROR(ROUND(AVERAGE(C627:C650), 2), "")</f>
        <v/>
      </c>
      <c r="D651" s="45" t="str">
        <f t="shared" si="25"/>
        <v/>
      </c>
      <c r="E651" s="45" t="str">
        <f t="shared" si="25"/>
        <v/>
      </c>
      <c r="F651" s="45" t="str">
        <f t="shared" si="25"/>
        <v/>
      </c>
      <c r="G651" s="45" t="str">
        <f t="shared" si="25"/>
        <v/>
      </c>
      <c r="H651" s="45" t="str">
        <f t="shared" si="25"/>
        <v/>
      </c>
      <c r="I651" s="45" t="str">
        <f t="shared" si="25"/>
        <v/>
      </c>
      <c r="J651" s="45" t="str">
        <f t="shared" si="25"/>
        <v/>
      </c>
      <c r="K651" s="46" t="str">
        <f t="shared" si="25"/>
        <v/>
      </c>
      <c r="L651" s="7"/>
    </row>
    <row r="652" spans="1:12" x14ac:dyDescent="0.25">
      <c r="A652" s="57">
        <v>46049</v>
      </c>
      <c r="B652" s="14">
        <v>0</v>
      </c>
      <c r="C652" s="15"/>
      <c r="D652" s="15"/>
      <c r="E652" s="15"/>
      <c r="F652" s="15"/>
      <c r="G652" s="15"/>
      <c r="H652" s="16"/>
      <c r="I652" s="16"/>
      <c r="J652" s="16"/>
      <c r="K652" s="17"/>
      <c r="L652" s="2"/>
    </row>
    <row r="653" spans="1:12" x14ac:dyDescent="0.25">
      <c r="A653" s="58">
        <v>46049</v>
      </c>
      <c r="B653" s="18">
        <v>4.1666666666666664E-2</v>
      </c>
      <c r="C653" s="19"/>
      <c r="D653" s="19"/>
      <c r="E653" s="19"/>
      <c r="F653" s="19"/>
      <c r="G653" s="19"/>
      <c r="H653" s="20"/>
      <c r="I653" s="20"/>
      <c r="J653" s="20"/>
      <c r="K653" s="21"/>
      <c r="L653" s="2"/>
    </row>
    <row r="654" spans="1:12" x14ac:dyDescent="0.25">
      <c r="A654" s="58">
        <v>46049</v>
      </c>
      <c r="B654" s="18">
        <v>8.3333333333333329E-2</v>
      </c>
      <c r="C654" s="19"/>
      <c r="D654" s="19"/>
      <c r="E654" s="19"/>
      <c r="F654" s="19"/>
      <c r="G654" s="19"/>
      <c r="H654" s="20"/>
      <c r="I654" s="20"/>
      <c r="J654" s="20"/>
      <c r="K654" s="21"/>
      <c r="L654" s="2"/>
    </row>
    <row r="655" spans="1:12" x14ac:dyDescent="0.25">
      <c r="A655" s="58">
        <v>46049</v>
      </c>
      <c r="B655" s="18">
        <v>0.125</v>
      </c>
      <c r="C655" s="19"/>
      <c r="D655" s="19"/>
      <c r="E655" s="19"/>
      <c r="F655" s="19"/>
      <c r="G655" s="19"/>
      <c r="H655" s="20"/>
      <c r="I655" s="20"/>
      <c r="J655" s="20"/>
      <c r="K655" s="21"/>
      <c r="L655" s="2"/>
    </row>
    <row r="656" spans="1:12" x14ac:dyDescent="0.25">
      <c r="A656" s="58">
        <v>46049</v>
      </c>
      <c r="B656" s="18">
        <v>0.16666666666666666</v>
      </c>
      <c r="C656" s="19"/>
      <c r="D656" s="19"/>
      <c r="E656" s="19"/>
      <c r="F656" s="19"/>
      <c r="G656" s="19"/>
      <c r="H656" s="20"/>
      <c r="I656" s="20"/>
      <c r="J656" s="20"/>
      <c r="K656" s="21"/>
      <c r="L656" s="2"/>
    </row>
    <row r="657" spans="1:12" x14ac:dyDescent="0.25">
      <c r="A657" s="58">
        <v>46049</v>
      </c>
      <c r="B657" s="18">
        <v>0.20833333333333334</v>
      </c>
      <c r="C657" s="19"/>
      <c r="D657" s="19"/>
      <c r="E657" s="19"/>
      <c r="F657" s="19"/>
      <c r="G657" s="19"/>
      <c r="H657" s="20"/>
      <c r="I657" s="20"/>
      <c r="J657" s="20"/>
      <c r="K657" s="21"/>
      <c r="L657" s="2"/>
    </row>
    <row r="658" spans="1:12" x14ac:dyDescent="0.25">
      <c r="A658" s="58">
        <v>46049</v>
      </c>
      <c r="B658" s="18">
        <v>0.25</v>
      </c>
      <c r="C658" s="19"/>
      <c r="D658" s="19"/>
      <c r="E658" s="19"/>
      <c r="F658" s="19"/>
      <c r="G658" s="19"/>
      <c r="H658" s="20"/>
      <c r="I658" s="20"/>
      <c r="J658" s="20"/>
      <c r="K658" s="21"/>
      <c r="L658" s="2"/>
    </row>
    <row r="659" spans="1:12" x14ac:dyDescent="0.25">
      <c r="A659" s="58">
        <v>46049</v>
      </c>
      <c r="B659" s="18">
        <v>0.29166666666666669</v>
      </c>
      <c r="C659" s="19"/>
      <c r="D659" s="19"/>
      <c r="E659" s="19"/>
      <c r="F659" s="19"/>
      <c r="G659" s="19"/>
      <c r="H659" s="20"/>
      <c r="I659" s="20"/>
      <c r="J659" s="20"/>
      <c r="K659" s="21"/>
      <c r="L659" s="2"/>
    </row>
    <row r="660" spans="1:12" x14ac:dyDescent="0.25">
      <c r="A660" s="58">
        <v>46049</v>
      </c>
      <c r="B660" s="18">
        <v>0.33333333333333331</v>
      </c>
      <c r="C660" s="19"/>
      <c r="D660" s="19"/>
      <c r="E660" s="19"/>
      <c r="F660" s="19"/>
      <c r="G660" s="19"/>
      <c r="H660" s="20"/>
      <c r="I660" s="20"/>
      <c r="J660" s="20"/>
      <c r="K660" s="21"/>
      <c r="L660" s="2"/>
    </row>
    <row r="661" spans="1:12" x14ac:dyDescent="0.25">
      <c r="A661" s="58">
        <v>46049</v>
      </c>
      <c r="B661" s="18">
        <v>0.375</v>
      </c>
      <c r="C661" s="19"/>
      <c r="D661" s="19"/>
      <c r="E661" s="19"/>
      <c r="F661" s="19"/>
      <c r="G661" s="19"/>
      <c r="H661" s="20"/>
      <c r="I661" s="20"/>
      <c r="J661" s="20"/>
      <c r="K661" s="21"/>
      <c r="L661" s="2"/>
    </row>
    <row r="662" spans="1:12" x14ac:dyDescent="0.25">
      <c r="A662" s="58">
        <v>46049</v>
      </c>
      <c r="B662" s="18">
        <v>0.41666666666666669</v>
      </c>
      <c r="C662" s="19"/>
      <c r="D662" s="19"/>
      <c r="E662" s="19"/>
      <c r="F662" s="19"/>
      <c r="G662" s="19"/>
      <c r="H662" s="20"/>
      <c r="I662" s="20"/>
      <c r="J662" s="20"/>
      <c r="K662" s="21"/>
      <c r="L662" s="2"/>
    </row>
    <row r="663" spans="1:12" x14ac:dyDescent="0.25">
      <c r="A663" s="58">
        <v>46049</v>
      </c>
      <c r="B663" s="18">
        <v>0.45833333333333331</v>
      </c>
      <c r="C663" s="19"/>
      <c r="D663" s="19"/>
      <c r="E663" s="19"/>
      <c r="F663" s="19"/>
      <c r="G663" s="19"/>
      <c r="H663" s="20"/>
      <c r="I663" s="20"/>
      <c r="J663" s="20"/>
      <c r="K663" s="21"/>
      <c r="L663" s="2"/>
    </row>
    <row r="664" spans="1:12" x14ac:dyDescent="0.25">
      <c r="A664" s="58">
        <v>46049</v>
      </c>
      <c r="B664" s="18">
        <v>0.5</v>
      </c>
      <c r="C664" s="19"/>
      <c r="D664" s="19"/>
      <c r="E664" s="19"/>
      <c r="F664" s="19"/>
      <c r="G664" s="19"/>
      <c r="H664" s="20"/>
      <c r="I664" s="20"/>
      <c r="J664" s="20"/>
      <c r="K664" s="21"/>
      <c r="L664" s="2"/>
    </row>
    <row r="665" spans="1:12" x14ac:dyDescent="0.25">
      <c r="A665" s="58">
        <v>46049</v>
      </c>
      <c r="B665" s="18">
        <v>0.54166666666666663</v>
      </c>
      <c r="C665" s="19"/>
      <c r="D665" s="19"/>
      <c r="E665" s="19"/>
      <c r="F665" s="19"/>
      <c r="G665" s="19"/>
      <c r="H665" s="20"/>
      <c r="I665" s="20"/>
      <c r="J665" s="20"/>
      <c r="K665" s="21"/>
      <c r="L665" s="2"/>
    </row>
    <row r="666" spans="1:12" x14ac:dyDescent="0.25">
      <c r="A666" s="58">
        <v>46049</v>
      </c>
      <c r="B666" s="18">
        <v>0.58333333333333337</v>
      </c>
      <c r="C666" s="19"/>
      <c r="D666" s="19"/>
      <c r="E666" s="19"/>
      <c r="F666" s="19"/>
      <c r="G666" s="19"/>
      <c r="H666" s="20"/>
      <c r="I666" s="20"/>
      <c r="J666" s="20"/>
      <c r="K666" s="21"/>
      <c r="L666" s="2"/>
    </row>
    <row r="667" spans="1:12" x14ac:dyDescent="0.25">
      <c r="A667" s="58">
        <v>46049</v>
      </c>
      <c r="B667" s="18">
        <v>0.625</v>
      </c>
      <c r="C667" s="19"/>
      <c r="D667" s="19"/>
      <c r="E667" s="19"/>
      <c r="F667" s="19"/>
      <c r="G667" s="19"/>
      <c r="H667" s="20"/>
      <c r="I667" s="20"/>
      <c r="J667" s="20"/>
      <c r="K667" s="21"/>
      <c r="L667" s="2"/>
    </row>
    <row r="668" spans="1:12" x14ac:dyDescent="0.25">
      <c r="A668" s="58">
        <v>46049</v>
      </c>
      <c r="B668" s="18">
        <v>0.66666666666666663</v>
      </c>
      <c r="C668" s="19"/>
      <c r="D668" s="19"/>
      <c r="E668" s="19"/>
      <c r="F668" s="19"/>
      <c r="G668" s="19"/>
      <c r="H668" s="20"/>
      <c r="I668" s="20"/>
      <c r="J668" s="20"/>
      <c r="K668" s="21"/>
      <c r="L668" s="2"/>
    </row>
    <row r="669" spans="1:12" x14ac:dyDescent="0.25">
      <c r="A669" s="58">
        <v>46049</v>
      </c>
      <c r="B669" s="18">
        <v>0.70833333333333337</v>
      </c>
      <c r="C669" s="19"/>
      <c r="D669" s="19"/>
      <c r="E669" s="19"/>
      <c r="F669" s="19"/>
      <c r="G669" s="19"/>
      <c r="H669" s="20"/>
      <c r="I669" s="20"/>
      <c r="J669" s="20"/>
      <c r="K669" s="21"/>
      <c r="L669" s="2"/>
    </row>
    <row r="670" spans="1:12" x14ac:dyDescent="0.25">
      <c r="A670" s="58">
        <v>46049</v>
      </c>
      <c r="B670" s="18">
        <v>0.75</v>
      </c>
      <c r="C670" s="19"/>
      <c r="D670" s="19"/>
      <c r="E670" s="19"/>
      <c r="F670" s="19"/>
      <c r="G670" s="19"/>
      <c r="H670" s="20"/>
      <c r="I670" s="20"/>
      <c r="J670" s="20"/>
      <c r="K670" s="21"/>
      <c r="L670" s="2"/>
    </row>
    <row r="671" spans="1:12" x14ac:dyDescent="0.25">
      <c r="A671" s="58">
        <v>46049</v>
      </c>
      <c r="B671" s="18">
        <v>0.79166666666666663</v>
      </c>
      <c r="C671" s="19"/>
      <c r="D671" s="19"/>
      <c r="E671" s="19"/>
      <c r="F671" s="19"/>
      <c r="G671" s="19"/>
      <c r="H671" s="20"/>
      <c r="I671" s="20"/>
      <c r="J671" s="20"/>
      <c r="K671" s="21"/>
      <c r="L671" s="2"/>
    </row>
    <row r="672" spans="1:12" x14ac:dyDescent="0.25">
      <c r="A672" s="58">
        <v>46049</v>
      </c>
      <c r="B672" s="18">
        <v>0.83333333333333337</v>
      </c>
      <c r="C672" s="19"/>
      <c r="D672" s="19"/>
      <c r="E672" s="19"/>
      <c r="F672" s="19"/>
      <c r="G672" s="19"/>
      <c r="H672" s="20"/>
      <c r="I672" s="20"/>
      <c r="J672" s="20"/>
      <c r="K672" s="21"/>
      <c r="L672" s="2"/>
    </row>
    <row r="673" spans="1:12" x14ac:dyDescent="0.25">
      <c r="A673" s="58">
        <v>46049</v>
      </c>
      <c r="B673" s="18">
        <v>0.875</v>
      </c>
      <c r="C673" s="19"/>
      <c r="D673" s="19"/>
      <c r="E673" s="19"/>
      <c r="F673" s="19"/>
      <c r="G673" s="19"/>
      <c r="H673" s="20"/>
      <c r="I673" s="20"/>
      <c r="J673" s="20"/>
      <c r="K673" s="21"/>
      <c r="L673" s="2"/>
    </row>
    <row r="674" spans="1:12" x14ac:dyDescent="0.25">
      <c r="A674" s="58">
        <v>46049</v>
      </c>
      <c r="B674" s="18">
        <v>0.91666666666666663</v>
      </c>
      <c r="C674" s="19"/>
      <c r="D674" s="19"/>
      <c r="E674" s="19"/>
      <c r="F674" s="19"/>
      <c r="G674" s="19"/>
      <c r="H674" s="20"/>
      <c r="I674" s="20"/>
      <c r="J674" s="20"/>
      <c r="K674" s="21"/>
      <c r="L674" s="2"/>
    </row>
    <row r="675" spans="1:12" ht="15.75" thickBot="1" x14ac:dyDescent="0.3">
      <c r="A675" s="60">
        <v>46049</v>
      </c>
      <c r="B675" s="35">
        <v>0.95833333333333337</v>
      </c>
      <c r="C675" s="23"/>
      <c r="D675" s="23"/>
      <c r="E675" s="23"/>
      <c r="F675" s="23"/>
      <c r="G675" s="23"/>
      <c r="H675" s="24"/>
      <c r="I675" s="24"/>
      <c r="J675" s="24"/>
      <c r="K675" s="25"/>
      <c r="L675" s="2"/>
    </row>
    <row r="676" spans="1:12" ht="15.75" thickBot="1" x14ac:dyDescent="0.3">
      <c r="A676" s="26" t="s">
        <v>38</v>
      </c>
      <c r="B676" s="44"/>
      <c r="C676" s="45" t="str">
        <f t="shared" ref="C676:K676" si="26">IFERROR(ROUND(AVERAGE(C652:C675), 2), "")</f>
        <v/>
      </c>
      <c r="D676" s="45" t="str">
        <f t="shared" si="26"/>
        <v/>
      </c>
      <c r="E676" s="45" t="str">
        <f t="shared" si="26"/>
        <v/>
      </c>
      <c r="F676" s="45" t="str">
        <f t="shared" si="26"/>
        <v/>
      </c>
      <c r="G676" s="45" t="str">
        <f t="shared" si="26"/>
        <v/>
      </c>
      <c r="H676" s="45" t="str">
        <f t="shared" si="26"/>
        <v/>
      </c>
      <c r="I676" s="45" t="str">
        <f t="shared" si="26"/>
        <v/>
      </c>
      <c r="J676" s="45" t="str">
        <f t="shared" si="26"/>
        <v/>
      </c>
      <c r="K676" s="46" t="str">
        <f t="shared" si="26"/>
        <v/>
      </c>
      <c r="L676" s="7"/>
    </row>
    <row r="677" spans="1:12" x14ac:dyDescent="0.25">
      <c r="A677" s="57">
        <v>46050</v>
      </c>
      <c r="B677" s="14">
        <v>0</v>
      </c>
      <c r="C677" s="15"/>
      <c r="D677" s="15"/>
      <c r="E677" s="15"/>
      <c r="F677" s="15"/>
      <c r="G677" s="16"/>
      <c r="H677" s="16"/>
      <c r="I677" s="16"/>
      <c r="J677" s="16"/>
      <c r="K677" s="31"/>
      <c r="L677" s="1"/>
    </row>
    <row r="678" spans="1:12" x14ac:dyDescent="0.25">
      <c r="A678" s="58">
        <v>46050</v>
      </c>
      <c r="B678" s="18">
        <v>4.1666666666666664E-2</v>
      </c>
      <c r="C678" s="19"/>
      <c r="D678" s="19"/>
      <c r="E678" s="19"/>
      <c r="F678" s="19"/>
      <c r="G678" s="20"/>
      <c r="H678" s="20"/>
      <c r="I678" s="20"/>
      <c r="J678" s="20"/>
      <c r="K678" s="32"/>
      <c r="L678" s="1"/>
    </row>
    <row r="679" spans="1:12" x14ac:dyDescent="0.25">
      <c r="A679" s="58">
        <v>46050</v>
      </c>
      <c r="B679" s="18">
        <v>8.3333333333333329E-2</v>
      </c>
      <c r="C679" s="19"/>
      <c r="D679" s="19"/>
      <c r="E679" s="19"/>
      <c r="F679" s="19"/>
      <c r="G679" s="20"/>
      <c r="H679" s="20"/>
      <c r="I679" s="20"/>
      <c r="J679" s="20"/>
      <c r="K679" s="32"/>
      <c r="L679" s="1"/>
    </row>
    <row r="680" spans="1:12" x14ac:dyDescent="0.25">
      <c r="A680" s="58">
        <v>46050</v>
      </c>
      <c r="B680" s="18">
        <v>0.125</v>
      </c>
      <c r="C680" s="19"/>
      <c r="D680" s="19"/>
      <c r="E680" s="19"/>
      <c r="F680" s="19"/>
      <c r="G680" s="20"/>
      <c r="H680" s="20"/>
      <c r="I680" s="20"/>
      <c r="J680" s="20"/>
      <c r="K680" s="32"/>
      <c r="L680" s="1"/>
    </row>
    <row r="681" spans="1:12" x14ac:dyDescent="0.25">
      <c r="A681" s="58">
        <v>46050</v>
      </c>
      <c r="B681" s="18">
        <v>0.16666666666666666</v>
      </c>
      <c r="C681" s="19"/>
      <c r="D681" s="19"/>
      <c r="E681" s="19"/>
      <c r="F681" s="19"/>
      <c r="G681" s="20"/>
      <c r="H681" s="20"/>
      <c r="I681" s="20"/>
      <c r="J681" s="20"/>
      <c r="K681" s="32"/>
      <c r="L681" s="1"/>
    </row>
    <row r="682" spans="1:12" x14ac:dyDescent="0.25">
      <c r="A682" s="58">
        <v>46050</v>
      </c>
      <c r="B682" s="18">
        <v>0.20833333333333334</v>
      </c>
      <c r="C682" s="19"/>
      <c r="D682" s="19"/>
      <c r="E682" s="19"/>
      <c r="F682" s="19"/>
      <c r="G682" s="20"/>
      <c r="H682" s="20"/>
      <c r="I682" s="20"/>
      <c r="J682" s="20"/>
      <c r="K682" s="32"/>
      <c r="L682" s="1"/>
    </row>
    <row r="683" spans="1:12" x14ac:dyDescent="0.25">
      <c r="A683" s="58">
        <v>46050</v>
      </c>
      <c r="B683" s="18">
        <v>0.25</v>
      </c>
      <c r="C683" s="19"/>
      <c r="D683" s="19"/>
      <c r="E683" s="19"/>
      <c r="F683" s="19"/>
      <c r="G683" s="20"/>
      <c r="H683" s="20"/>
      <c r="I683" s="20"/>
      <c r="J683" s="20"/>
      <c r="K683" s="32"/>
      <c r="L683" s="1"/>
    </row>
    <row r="684" spans="1:12" x14ac:dyDescent="0.25">
      <c r="A684" s="58">
        <v>46050</v>
      </c>
      <c r="B684" s="18">
        <v>0.29166666666666669</v>
      </c>
      <c r="C684" s="19"/>
      <c r="D684" s="19"/>
      <c r="E684" s="19"/>
      <c r="F684" s="19"/>
      <c r="G684" s="20"/>
      <c r="H684" s="20"/>
      <c r="I684" s="20"/>
      <c r="J684" s="20"/>
      <c r="K684" s="32"/>
      <c r="L684" s="1"/>
    </row>
    <row r="685" spans="1:12" x14ac:dyDescent="0.25">
      <c r="A685" s="58">
        <v>46050</v>
      </c>
      <c r="B685" s="18">
        <v>0.33333333333333331</v>
      </c>
      <c r="C685" s="19"/>
      <c r="D685" s="19"/>
      <c r="E685" s="19"/>
      <c r="F685" s="19"/>
      <c r="G685" s="20"/>
      <c r="H685" s="20"/>
      <c r="I685" s="20"/>
      <c r="J685" s="20"/>
      <c r="K685" s="32"/>
      <c r="L685" s="1"/>
    </row>
    <row r="686" spans="1:12" x14ac:dyDescent="0.25">
      <c r="A686" s="58">
        <v>46050</v>
      </c>
      <c r="B686" s="18">
        <v>0.375</v>
      </c>
      <c r="C686" s="19"/>
      <c r="D686" s="19"/>
      <c r="E686" s="19"/>
      <c r="F686" s="19"/>
      <c r="G686" s="20"/>
      <c r="H686" s="20"/>
      <c r="I686" s="20"/>
      <c r="J686" s="20"/>
      <c r="K686" s="32"/>
      <c r="L686" s="1"/>
    </row>
    <row r="687" spans="1:12" x14ac:dyDescent="0.25">
      <c r="A687" s="58">
        <v>46050</v>
      </c>
      <c r="B687" s="18">
        <v>0.41666666666666669</v>
      </c>
      <c r="C687" s="19"/>
      <c r="D687" s="19"/>
      <c r="E687" s="19"/>
      <c r="F687" s="19"/>
      <c r="G687" s="20"/>
      <c r="H687" s="20"/>
      <c r="I687" s="20"/>
      <c r="J687" s="20"/>
      <c r="K687" s="32"/>
      <c r="L687" s="1"/>
    </row>
    <row r="688" spans="1:12" x14ac:dyDescent="0.25">
      <c r="A688" s="58">
        <v>46050</v>
      </c>
      <c r="B688" s="18">
        <v>0.45833333333333331</v>
      </c>
      <c r="C688" s="19"/>
      <c r="D688" s="19"/>
      <c r="E688" s="19"/>
      <c r="F688" s="19"/>
      <c r="G688" s="20"/>
      <c r="H688" s="20"/>
      <c r="I688" s="20"/>
      <c r="J688" s="20"/>
      <c r="K688" s="32"/>
      <c r="L688" s="1"/>
    </row>
    <row r="689" spans="1:12" x14ac:dyDescent="0.25">
      <c r="A689" s="58">
        <v>46050</v>
      </c>
      <c r="B689" s="18">
        <v>0.5</v>
      </c>
      <c r="C689" s="19"/>
      <c r="D689" s="19"/>
      <c r="E689" s="19"/>
      <c r="F689" s="19"/>
      <c r="G689" s="20"/>
      <c r="H689" s="20"/>
      <c r="I689" s="20"/>
      <c r="J689" s="20"/>
      <c r="K689" s="32"/>
      <c r="L689" s="1"/>
    </row>
    <row r="690" spans="1:12" x14ac:dyDescent="0.25">
      <c r="A690" s="58">
        <v>46050</v>
      </c>
      <c r="B690" s="18">
        <v>0.54166666666666663</v>
      </c>
      <c r="C690" s="19"/>
      <c r="D690" s="19"/>
      <c r="E690" s="19"/>
      <c r="F690" s="19"/>
      <c r="G690" s="20"/>
      <c r="H690" s="20"/>
      <c r="I690" s="20"/>
      <c r="J690" s="20"/>
      <c r="K690" s="32"/>
      <c r="L690" s="1"/>
    </row>
    <row r="691" spans="1:12" x14ac:dyDescent="0.25">
      <c r="A691" s="58">
        <v>46050</v>
      </c>
      <c r="B691" s="18">
        <v>0.58333333333333337</v>
      </c>
      <c r="C691" s="19"/>
      <c r="D691" s="19"/>
      <c r="E691" s="19"/>
      <c r="F691" s="19"/>
      <c r="G691" s="20"/>
      <c r="H691" s="20"/>
      <c r="I691" s="20"/>
      <c r="J691" s="20"/>
      <c r="K691" s="32"/>
      <c r="L691" s="1"/>
    </row>
    <row r="692" spans="1:12" x14ac:dyDescent="0.25">
      <c r="A692" s="58">
        <v>46050</v>
      </c>
      <c r="B692" s="18">
        <v>0.625</v>
      </c>
      <c r="C692" s="19"/>
      <c r="D692" s="19"/>
      <c r="E692" s="19"/>
      <c r="F692" s="19"/>
      <c r="G692" s="20"/>
      <c r="H692" s="20"/>
      <c r="I692" s="20"/>
      <c r="J692" s="20"/>
      <c r="K692" s="32"/>
      <c r="L692" s="1"/>
    </row>
    <row r="693" spans="1:12" x14ac:dyDescent="0.25">
      <c r="A693" s="58">
        <v>46050</v>
      </c>
      <c r="B693" s="18">
        <v>0.66666666666666663</v>
      </c>
      <c r="C693" s="19"/>
      <c r="D693" s="19"/>
      <c r="E693" s="19"/>
      <c r="F693" s="19"/>
      <c r="G693" s="20"/>
      <c r="H693" s="20"/>
      <c r="I693" s="20"/>
      <c r="J693" s="20"/>
      <c r="K693" s="32"/>
      <c r="L693" s="1"/>
    </row>
    <row r="694" spans="1:12" x14ac:dyDescent="0.25">
      <c r="A694" s="58">
        <v>46050</v>
      </c>
      <c r="B694" s="18">
        <v>0.70833333333333337</v>
      </c>
      <c r="C694" s="19"/>
      <c r="D694" s="19"/>
      <c r="E694" s="19"/>
      <c r="F694" s="19"/>
      <c r="G694" s="20"/>
      <c r="H694" s="20"/>
      <c r="I694" s="20"/>
      <c r="J694" s="20"/>
      <c r="K694" s="32"/>
      <c r="L694" s="1"/>
    </row>
    <row r="695" spans="1:12" x14ac:dyDescent="0.25">
      <c r="A695" s="58">
        <v>46050</v>
      </c>
      <c r="B695" s="18">
        <v>0.75</v>
      </c>
      <c r="C695" s="19"/>
      <c r="D695" s="19"/>
      <c r="E695" s="19"/>
      <c r="F695" s="19"/>
      <c r="G695" s="20"/>
      <c r="H695" s="20"/>
      <c r="I695" s="20"/>
      <c r="J695" s="20"/>
      <c r="K695" s="32"/>
      <c r="L695" s="1"/>
    </row>
    <row r="696" spans="1:12" x14ac:dyDescent="0.25">
      <c r="A696" s="58">
        <v>46050</v>
      </c>
      <c r="B696" s="18">
        <v>0.79166666666666663</v>
      </c>
      <c r="C696" s="19"/>
      <c r="D696" s="19"/>
      <c r="E696" s="19"/>
      <c r="F696" s="19"/>
      <c r="G696" s="20"/>
      <c r="H696" s="20"/>
      <c r="I696" s="20"/>
      <c r="J696" s="20"/>
      <c r="K696" s="32"/>
      <c r="L696" s="1"/>
    </row>
    <row r="697" spans="1:12" x14ac:dyDescent="0.25">
      <c r="A697" s="58">
        <v>46050</v>
      </c>
      <c r="B697" s="18">
        <v>0.83333333333333337</v>
      </c>
      <c r="C697" s="19"/>
      <c r="D697" s="19"/>
      <c r="E697" s="19"/>
      <c r="F697" s="19"/>
      <c r="G697" s="20"/>
      <c r="H697" s="20"/>
      <c r="I697" s="20"/>
      <c r="J697" s="20"/>
      <c r="K697" s="32"/>
      <c r="L697" s="1"/>
    </row>
    <row r="698" spans="1:12" x14ac:dyDescent="0.25">
      <c r="A698" s="58">
        <v>46050</v>
      </c>
      <c r="B698" s="18">
        <v>0.875</v>
      </c>
      <c r="C698" s="19"/>
      <c r="D698" s="19"/>
      <c r="E698" s="19"/>
      <c r="F698" s="19"/>
      <c r="G698" s="20"/>
      <c r="H698" s="20"/>
      <c r="I698" s="20"/>
      <c r="J698" s="20"/>
      <c r="K698" s="32"/>
      <c r="L698" s="1"/>
    </row>
    <row r="699" spans="1:12" x14ac:dyDescent="0.25">
      <c r="A699" s="58">
        <v>46050</v>
      </c>
      <c r="B699" s="18">
        <v>0.91666666666666663</v>
      </c>
      <c r="C699" s="19"/>
      <c r="D699" s="19"/>
      <c r="E699" s="19"/>
      <c r="F699" s="19"/>
      <c r="G699" s="20"/>
      <c r="H699" s="20"/>
      <c r="I699" s="20"/>
      <c r="J699" s="20"/>
      <c r="K699" s="32"/>
      <c r="L699" s="1"/>
    </row>
    <row r="700" spans="1:12" ht="15.75" thickBot="1" x14ac:dyDescent="0.3">
      <c r="A700" s="60">
        <v>46050</v>
      </c>
      <c r="B700" s="35">
        <v>0.95833333333333337</v>
      </c>
      <c r="C700" s="23"/>
      <c r="D700" s="23"/>
      <c r="E700" s="23"/>
      <c r="F700" s="23"/>
      <c r="G700" s="24"/>
      <c r="H700" s="24"/>
      <c r="I700" s="24"/>
      <c r="J700" s="24"/>
      <c r="K700" s="36"/>
      <c r="L700" s="1"/>
    </row>
    <row r="701" spans="1:12" ht="15.75" thickBot="1" x14ac:dyDescent="0.3">
      <c r="A701" s="26" t="s">
        <v>39</v>
      </c>
      <c r="B701" s="44"/>
      <c r="C701" s="45" t="str">
        <f t="shared" ref="C701:K701" si="27">IFERROR(ROUND(AVERAGE(C677:C700), 2), "")</f>
        <v/>
      </c>
      <c r="D701" s="45" t="str">
        <f t="shared" si="27"/>
        <v/>
      </c>
      <c r="E701" s="45" t="str">
        <f t="shared" si="27"/>
        <v/>
      </c>
      <c r="F701" s="45" t="str">
        <f t="shared" si="27"/>
        <v/>
      </c>
      <c r="G701" s="45" t="str">
        <f t="shared" si="27"/>
        <v/>
      </c>
      <c r="H701" s="45" t="str">
        <f t="shared" si="27"/>
        <v/>
      </c>
      <c r="I701" s="45" t="str">
        <f t="shared" si="27"/>
        <v/>
      </c>
      <c r="J701" s="45" t="str">
        <f t="shared" si="27"/>
        <v/>
      </c>
      <c r="K701" s="46" t="str">
        <f t="shared" si="27"/>
        <v/>
      </c>
      <c r="L701" s="7"/>
    </row>
    <row r="702" spans="1:12" x14ac:dyDescent="0.25">
      <c r="A702" s="57">
        <v>46051</v>
      </c>
      <c r="B702" s="14">
        <v>0</v>
      </c>
      <c r="C702" s="15"/>
      <c r="D702" s="15"/>
      <c r="E702" s="15"/>
      <c r="F702" s="15"/>
      <c r="G702" s="15"/>
      <c r="H702" s="16"/>
      <c r="I702" s="16"/>
      <c r="J702" s="16"/>
      <c r="K702" s="17"/>
      <c r="L702" s="1"/>
    </row>
    <row r="703" spans="1:12" x14ac:dyDescent="0.25">
      <c r="A703" s="58">
        <v>46051</v>
      </c>
      <c r="B703" s="18">
        <v>4.1666666666666664E-2</v>
      </c>
      <c r="C703" s="19"/>
      <c r="D703" s="19"/>
      <c r="E703" s="19"/>
      <c r="F703" s="19"/>
      <c r="G703" s="19"/>
      <c r="H703" s="20"/>
      <c r="I703" s="20"/>
      <c r="J703" s="20"/>
      <c r="K703" s="21"/>
      <c r="L703" s="1"/>
    </row>
    <row r="704" spans="1:12" x14ac:dyDescent="0.25">
      <c r="A704" s="58">
        <v>46051</v>
      </c>
      <c r="B704" s="18">
        <v>8.3333333333333329E-2</v>
      </c>
      <c r="C704" s="19"/>
      <c r="D704" s="19"/>
      <c r="E704" s="19"/>
      <c r="F704" s="19"/>
      <c r="G704" s="19"/>
      <c r="H704" s="20"/>
      <c r="I704" s="20"/>
      <c r="J704" s="20"/>
      <c r="K704" s="21"/>
      <c r="L704" s="1"/>
    </row>
    <row r="705" spans="1:12" x14ac:dyDescent="0.25">
      <c r="A705" s="58">
        <v>46051</v>
      </c>
      <c r="B705" s="18">
        <v>0.125</v>
      </c>
      <c r="C705" s="19"/>
      <c r="D705" s="19"/>
      <c r="E705" s="19"/>
      <c r="F705" s="19"/>
      <c r="G705" s="19"/>
      <c r="H705" s="20"/>
      <c r="I705" s="20"/>
      <c r="J705" s="20"/>
      <c r="K705" s="21"/>
      <c r="L705" s="1"/>
    </row>
    <row r="706" spans="1:12" x14ac:dyDescent="0.25">
      <c r="A706" s="58">
        <v>46051</v>
      </c>
      <c r="B706" s="18">
        <v>0.16666666666666666</v>
      </c>
      <c r="C706" s="19"/>
      <c r="D706" s="19"/>
      <c r="E706" s="19"/>
      <c r="F706" s="19"/>
      <c r="G706" s="19"/>
      <c r="H706" s="20"/>
      <c r="I706" s="20"/>
      <c r="J706" s="20"/>
      <c r="K706" s="21"/>
      <c r="L706" s="1"/>
    </row>
    <row r="707" spans="1:12" x14ac:dyDescent="0.25">
      <c r="A707" s="58">
        <v>46051</v>
      </c>
      <c r="B707" s="18">
        <v>0.20833333333333334</v>
      </c>
      <c r="C707" s="19"/>
      <c r="D707" s="19"/>
      <c r="E707" s="19"/>
      <c r="F707" s="19"/>
      <c r="G707" s="19"/>
      <c r="H707" s="20"/>
      <c r="I707" s="20"/>
      <c r="J707" s="20"/>
      <c r="K707" s="21"/>
      <c r="L707" s="1"/>
    </row>
    <row r="708" spans="1:12" x14ac:dyDescent="0.25">
      <c r="A708" s="58">
        <v>46051</v>
      </c>
      <c r="B708" s="18">
        <v>0.25</v>
      </c>
      <c r="C708" s="19"/>
      <c r="D708" s="19"/>
      <c r="E708" s="19"/>
      <c r="F708" s="19"/>
      <c r="G708" s="19"/>
      <c r="H708" s="20"/>
      <c r="I708" s="20"/>
      <c r="J708" s="20"/>
      <c r="K708" s="21"/>
      <c r="L708" s="1"/>
    </row>
    <row r="709" spans="1:12" x14ac:dyDescent="0.25">
      <c r="A709" s="58">
        <v>46051</v>
      </c>
      <c r="B709" s="18">
        <v>0.29166666666666669</v>
      </c>
      <c r="C709" s="19"/>
      <c r="D709" s="19"/>
      <c r="E709" s="19"/>
      <c r="F709" s="19"/>
      <c r="G709" s="19"/>
      <c r="H709" s="20"/>
      <c r="I709" s="20"/>
      <c r="J709" s="20"/>
      <c r="K709" s="21"/>
      <c r="L709" s="1"/>
    </row>
    <row r="710" spans="1:12" x14ac:dyDescent="0.25">
      <c r="A710" s="58">
        <v>46051</v>
      </c>
      <c r="B710" s="18">
        <v>0.33333333333333331</v>
      </c>
      <c r="C710" s="19"/>
      <c r="D710" s="19"/>
      <c r="E710" s="19"/>
      <c r="F710" s="19"/>
      <c r="G710" s="19"/>
      <c r="H710" s="20"/>
      <c r="I710" s="20"/>
      <c r="J710" s="20"/>
      <c r="K710" s="21"/>
      <c r="L710" s="1"/>
    </row>
    <row r="711" spans="1:12" x14ac:dyDescent="0.25">
      <c r="A711" s="58">
        <v>46051</v>
      </c>
      <c r="B711" s="18">
        <v>0.375</v>
      </c>
      <c r="C711" s="19"/>
      <c r="D711" s="19"/>
      <c r="E711" s="19"/>
      <c r="F711" s="19"/>
      <c r="G711" s="19"/>
      <c r="H711" s="20"/>
      <c r="I711" s="20"/>
      <c r="J711" s="20"/>
      <c r="K711" s="21"/>
      <c r="L711" s="1"/>
    </row>
    <row r="712" spans="1:12" x14ac:dyDescent="0.25">
      <c r="A712" s="58">
        <v>46051</v>
      </c>
      <c r="B712" s="18">
        <v>0.41666666666666669</v>
      </c>
      <c r="C712" s="19"/>
      <c r="D712" s="19"/>
      <c r="E712" s="19"/>
      <c r="F712" s="19"/>
      <c r="G712" s="19"/>
      <c r="H712" s="20"/>
      <c r="I712" s="20"/>
      <c r="J712" s="20"/>
      <c r="K712" s="21"/>
      <c r="L712" s="1"/>
    </row>
    <row r="713" spans="1:12" x14ac:dyDescent="0.25">
      <c r="A713" s="58">
        <v>46051</v>
      </c>
      <c r="B713" s="18">
        <v>0.45833333333333331</v>
      </c>
      <c r="C713" s="19"/>
      <c r="D713" s="19"/>
      <c r="E713" s="19"/>
      <c r="F713" s="19"/>
      <c r="G713" s="19"/>
      <c r="H713" s="20"/>
      <c r="I713" s="20"/>
      <c r="J713" s="20"/>
      <c r="K713" s="21"/>
      <c r="L713" s="1"/>
    </row>
    <row r="714" spans="1:12" x14ac:dyDescent="0.25">
      <c r="A714" s="58">
        <v>46051</v>
      </c>
      <c r="B714" s="18">
        <v>0.5</v>
      </c>
      <c r="C714" s="19"/>
      <c r="D714" s="19"/>
      <c r="E714" s="19"/>
      <c r="F714" s="19"/>
      <c r="G714" s="19"/>
      <c r="H714" s="20"/>
      <c r="I714" s="20"/>
      <c r="J714" s="20"/>
      <c r="K714" s="21"/>
      <c r="L714" s="1"/>
    </row>
    <row r="715" spans="1:12" x14ac:dyDescent="0.25">
      <c r="A715" s="58">
        <v>46051</v>
      </c>
      <c r="B715" s="18">
        <v>0.54166666666666663</v>
      </c>
      <c r="C715" s="19"/>
      <c r="D715" s="19"/>
      <c r="E715" s="19"/>
      <c r="F715" s="19"/>
      <c r="G715" s="19"/>
      <c r="H715" s="20"/>
      <c r="I715" s="20"/>
      <c r="J715" s="20"/>
      <c r="K715" s="21"/>
      <c r="L715" s="1"/>
    </row>
    <row r="716" spans="1:12" x14ac:dyDescent="0.25">
      <c r="A716" s="58">
        <v>46051</v>
      </c>
      <c r="B716" s="18">
        <v>0.58333333333333337</v>
      </c>
      <c r="C716" s="19"/>
      <c r="D716" s="19"/>
      <c r="E716" s="19"/>
      <c r="F716" s="19"/>
      <c r="G716" s="19"/>
      <c r="H716" s="20"/>
      <c r="I716" s="20"/>
      <c r="J716" s="20"/>
      <c r="K716" s="21"/>
      <c r="L716" s="1"/>
    </row>
    <row r="717" spans="1:12" x14ac:dyDescent="0.25">
      <c r="A717" s="58">
        <v>46051</v>
      </c>
      <c r="B717" s="18">
        <v>0.625</v>
      </c>
      <c r="C717" s="19"/>
      <c r="D717" s="19"/>
      <c r="E717" s="19"/>
      <c r="F717" s="19"/>
      <c r="G717" s="19"/>
      <c r="H717" s="20"/>
      <c r="I717" s="20"/>
      <c r="J717" s="20"/>
      <c r="K717" s="21"/>
      <c r="L717" s="1"/>
    </row>
    <row r="718" spans="1:12" x14ac:dyDescent="0.25">
      <c r="A718" s="58">
        <v>46051</v>
      </c>
      <c r="B718" s="18">
        <v>0.66666666666666663</v>
      </c>
      <c r="C718" s="19"/>
      <c r="D718" s="19"/>
      <c r="E718" s="19"/>
      <c r="F718" s="19"/>
      <c r="G718" s="19"/>
      <c r="H718" s="20"/>
      <c r="I718" s="20"/>
      <c r="J718" s="20"/>
      <c r="K718" s="21"/>
      <c r="L718" s="1"/>
    </row>
    <row r="719" spans="1:12" x14ac:dyDescent="0.25">
      <c r="A719" s="58">
        <v>46051</v>
      </c>
      <c r="B719" s="18">
        <v>0.70833333333333337</v>
      </c>
      <c r="C719" s="19"/>
      <c r="D719" s="19"/>
      <c r="E719" s="19"/>
      <c r="F719" s="19"/>
      <c r="G719" s="19"/>
      <c r="H719" s="20"/>
      <c r="I719" s="20"/>
      <c r="J719" s="20"/>
      <c r="K719" s="21"/>
      <c r="L719" s="1"/>
    </row>
    <row r="720" spans="1:12" x14ac:dyDescent="0.25">
      <c r="A720" s="58">
        <v>46051</v>
      </c>
      <c r="B720" s="18">
        <v>0.75</v>
      </c>
      <c r="C720" s="19"/>
      <c r="D720" s="19"/>
      <c r="E720" s="19"/>
      <c r="F720" s="19"/>
      <c r="G720" s="19"/>
      <c r="H720" s="20"/>
      <c r="I720" s="20"/>
      <c r="J720" s="20"/>
      <c r="K720" s="21"/>
      <c r="L720" s="1"/>
    </row>
    <row r="721" spans="1:12" x14ac:dyDescent="0.25">
      <c r="A721" s="58">
        <v>46051</v>
      </c>
      <c r="B721" s="18">
        <v>0.79166666666666663</v>
      </c>
      <c r="C721" s="19"/>
      <c r="D721" s="19"/>
      <c r="E721" s="19"/>
      <c r="F721" s="19"/>
      <c r="G721" s="19"/>
      <c r="H721" s="20"/>
      <c r="I721" s="20"/>
      <c r="J721" s="20"/>
      <c r="K721" s="21"/>
      <c r="L721" s="1"/>
    </row>
    <row r="722" spans="1:12" x14ac:dyDescent="0.25">
      <c r="A722" s="58">
        <v>46051</v>
      </c>
      <c r="B722" s="18">
        <v>0.83333333333333337</v>
      </c>
      <c r="C722" s="19"/>
      <c r="D722" s="19"/>
      <c r="E722" s="19"/>
      <c r="F722" s="19"/>
      <c r="G722" s="19"/>
      <c r="H722" s="20"/>
      <c r="I722" s="20"/>
      <c r="J722" s="20"/>
      <c r="K722" s="21"/>
      <c r="L722" s="1"/>
    </row>
    <row r="723" spans="1:12" x14ac:dyDescent="0.25">
      <c r="A723" s="58">
        <v>46051</v>
      </c>
      <c r="B723" s="18">
        <v>0.875</v>
      </c>
      <c r="C723" s="19"/>
      <c r="D723" s="19"/>
      <c r="E723" s="19"/>
      <c r="F723" s="19"/>
      <c r="G723" s="19"/>
      <c r="H723" s="20"/>
      <c r="I723" s="20"/>
      <c r="J723" s="20"/>
      <c r="K723" s="21"/>
      <c r="L723" s="1"/>
    </row>
    <row r="724" spans="1:12" x14ac:dyDescent="0.25">
      <c r="A724" s="58">
        <v>46051</v>
      </c>
      <c r="B724" s="18">
        <v>0.91666666666666663</v>
      </c>
      <c r="C724" s="19"/>
      <c r="D724" s="19"/>
      <c r="E724" s="19"/>
      <c r="F724" s="19"/>
      <c r="G724" s="19"/>
      <c r="H724" s="20"/>
      <c r="I724" s="20"/>
      <c r="J724" s="20"/>
      <c r="K724" s="21"/>
      <c r="L724" s="1"/>
    </row>
    <row r="725" spans="1:12" ht="15.75" thickBot="1" x14ac:dyDescent="0.3">
      <c r="A725" s="60">
        <v>46051</v>
      </c>
      <c r="B725" s="35">
        <v>0.95833333333333337</v>
      </c>
      <c r="C725" s="23"/>
      <c r="D725" s="23"/>
      <c r="E725" s="23"/>
      <c r="F725" s="23"/>
      <c r="G725" s="23"/>
      <c r="H725" s="24"/>
      <c r="I725" s="24"/>
      <c r="J725" s="24"/>
      <c r="K725" s="25"/>
      <c r="L725" s="1"/>
    </row>
    <row r="726" spans="1:12" ht="15.75" thickBot="1" x14ac:dyDescent="0.3">
      <c r="A726" s="26" t="s">
        <v>40</v>
      </c>
      <c r="B726" s="44"/>
      <c r="C726" s="45" t="str">
        <f t="shared" ref="C726:K726" si="28">IFERROR(ROUND(AVERAGE(C702:C725), 2), "")</f>
        <v/>
      </c>
      <c r="D726" s="45" t="str">
        <f t="shared" si="28"/>
        <v/>
      </c>
      <c r="E726" s="45" t="str">
        <f t="shared" si="28"/>
        <v/>
      </c>
      <c r="F726" s="45" t="str">
        <f t="shared" si="28"/>
        <v/>
      </c>
      <c r="G726" s="45" t="str">
        <f t="shared" si="28"/>
        <v/>
      </c>
      <c r="H726" s="45" t="str">
        <f t="shared" si="28"/>
        <v/>
      </c>
      <c r="I726" s="45" t="str">
        <f t="shared" si="28"/>
        <v/>
      </c>
      <c r="J726" s="45" t="str">
        <f t="shared" si="28"/>
        <v/>
      </c>
      <c r="K726" s="46" t="str">
        <f t="shared" si="28"/>
        <v/>
      </c>
      <c r="L726" s="7"/>
    </row>
    <row r="727" spans="1:12" x14ac:dyDescent="0.25">
      <c r="A727" s="57">
        <v>46052</v>
      </c>
      <c r="B727" s="14">
        <v>0</v>
      </c>
      <c r="C727" s="15"/>
      <c r="D727" s="15"/>
      <c r="E727" s="15"/>
      <c r="F727" s="15"/>
      <c r="G727" s="15"/>
      <c r="H727" s="16"/>
      <c r="I727" s="16"/>
      <c r="J727" s="16"/>
      <c r="K727" s="17"/>
      <c r="L727" s="2"/>
    </row>
    <row r="728" spans="1:12" x14ac:dyDescent="0.25">
      <c r="A728" s="58">
        <v>46052</v>
      </c>
      <c r="B728" s="18">
        <v>4.1666666666666664E-2</v>
      </c>
      <c r="C728" s="19"/>
      <c r="D728" s="19"/>
      <c r="E728" s="19"/>
      <c r="F728" s="19"/>
      <c r="G728" s="19"/>
      <c r="H728" s="20"/>
      <c r="I728" s="20"/>
      <c r="J728" s="20"/>
      <c r="K728" s="21"/>
      <c r="L728" s="2"/>
    </row>
    <row r="729" spans="1:12" x14ac:dyDescent="0.25">
      <c r="A729" s="58">
        <v>46052</v>
      </c>
      <c r="B729" s="18">
        <v>8.3333333333333329E-2</v>
      </c>
      <c r="C729" s="19"/>
      <c r="D729" s="19"/>
      <c r="E729" s="19"/>
      <c r="F729" s="19"/>
      <c r="G729" s="19"/>
      <c r="H729" s="20"/>
      <c r="I729" s="20"/>
      <c r="J729" s="20"/>
      <c r="K729" s="21"/>
      <c r="L729" s="2"/>
    </row>
    <row r="730" spans="1:12" x14ac:dyDescent="0.25">
      <c r="A730" s="58">
        <v>46052</v>
      </c>
      <c r="B730" s="18">
        <v>0.125</v>
      </c>
      <c r="C730" s="19"/>
      <c r="D730" s="19"/>
      <c r="E730" s="19"/>
      <c r="F730" s="19"/>
      <c r="G730" s="19"/>
      <c r="H730" s="20"/>
      <c r="I730" s="20"/>
      <c r="J730" s="20"/>
      <c r="K730" s="21"/>
      <c r="L730" s="2"/>
    </row>
    <row r="731" spans="1:12" x14ac:dyDescent="0.25">
      <c r="A731" s="58">
        <v>46052</v>
      </c>
      <c r="B731" s="18">
        <v>0.16666666666666666</v>
      </c>
      <c r="C731" s="19"/>
      <c r="D731" s="19"/>
      <c r="E731" s="19"/>
      <c r="F731" s="19"/>
      <c r="G731" s="19"/>
      <c r="H731" s="20"/>
      <c r="I731" s="20"/>
      <c r="J731" s="20"/>
      <c r="K731" s="21"/>
      <c r="L731" s="2"/>
    </row>
    <row r="732" spans="1:12" x14ac:dyDescent="0.25">
      <c r="A732" s="58">
        <v>46052</v>
      </c>
      <c r="B732" s="18">
        <v>0.20833333333333334</v>
      </c>
      <c r="C732" s="19"/>
      <c r="D732" s="19"/>
      <c r="E732" s="19"/>
      <c r="F732" s="19"/>
      <c r="G732" s="19"/>
      <c r="H732" s="20"/>
      <c r="I732" s="20"/>
      <c r="J732" s="20"/>
      <c r="K732" s="21"/>
      <c r="L732" s="2"/>
    </row>
    <row r="733" spans="1:12" x14ac:dyDescent="0.25">
      <c r="A733" s="58">
        <v>46052</v>
      </c>
      <c r="B733" s="18">
        <v>0.25</v>
      </c>
      <c r="C733" s="19"/>
      <c r="D733" s="19"/>
      <c r="E733" s="19"/>
      <c r="F733" s="19"/>
      <c r="G733" s="19"/>
      <c r="H733" s="20"/>
      <c r="I733" s="20"/>
      <c r="J733" s="20"/>
      <c r="K733" s="21"/>
      <c r="L733" s="2"/>
    </row>
    <row r="734" spans="1:12" x14ac:dyDescent="0.25">
      <c r="A734" s="58">
        <v>46052</v>
      </c>
      <c r="B734" s="18">
        <v>0.29166666666666669</v>
      </c>
      <c r="C734" s="19"/>
      <c r="D734" s="19"/>
      <c r="E734" s="19"/>
      <c r="F734" s="19"/>
      <c r="G734" s="19"/>
      <c r="H734" s="20"/>
      <c r="I734" s="20"/>
      <c r="J734" s="20"/>
      <c r="K734" s="21"/>
      <c r="L734" s="2"/>
    </row>
    <row r="735" spans="1:12" x14ac:dyDescent="0.25">
      <c r="A735" s="58">
        <v>46052</v>
      </c>
      <c r="B735" s="18">
        <v>0.33333333333333331</v>
      </c>
      <c r="C735" s="19"/>
      <c r="D735" s="19"/>
      <c r="E735" s="19"/>
      <c r="F735" s="19"/>
      <c r="G735" s="19"/>
      <c r="H735" s="20"/>
      <c r="I735" s="20"/>
      <c r="J735" s="20"/>
      <c r="K735" s="21"/>
      <c r="L735" s="2"/>
    </row>
    <row r="736" spans="1:12" x14ac:dyDescent="0.25">
      <c r="A736" s="58">
        <v>46052</v>
      </c>
      <c r="B736" s="18">
        <v>0.375</v>
      </c>
      <c r="C736" s="19"/>
      <c r="D736" s="19"/>
      <c r="E736" s="19"/>
      <c r="F736" s="19"/>
      <c r="G736" s="19"/>
      <c r="H736" s="20"/>
      <c r="I736" s="20"/>
      <c r="J736" s="20"/>
      <c r="K736" s="21"/>
      <c r="L736" s="2"/>
    </row>
    <row r="737" spans="1:12" x14ac:dyDescent="0.25">
      <c r="A737" s="58">
        <v>46052</v>
      </c>
      <c r="B737" s="18">
        <v>0.41666666666666669</v>
      </c>
      <c r="C737" s="19"/>
      <c r="D737" s="19"/>
      <c r="E737" s="19"/>
      <c r="F737" s="19"/>
      <c r="G737" s="19"/>
      <c r="H737" s="20"/>
      <c r="I737" s="20"/>
      <c r="J737" s="20"/>
      <c r="K737" s="21"/>
      <c r="L737" s="2"/>
    </row>
    <row r="738" spans="1:12" x14ac:dyDescent="0.25">
      <c r="A738" s="58">
        <v>46052</v>
      </c>
      <c r="B738" s="18">
        <v>0.45833333333333331</v>
      </c>
      <c r="C738" s="19"/>
      <c r="D738" s="19"/>
      <c r="E738" s="19"/>
      <c r="F738" s="19"/>
      <c r="G738" s="19"/>
      <c r="H738" s="20"/>
      <c r="I738" s="20"/>
      <c r="J738" s="20"/>
      <c r="K738" s="21"/>
      <c r="L738" s="2"/>
    </row>
    <row r="739" spans="1:12" x14ac:dyDescent="0.25">
      <c r="A739" s="58">
        <v>46052</v>
      </c>
      <c r="B739" s="18">
        <v>0.5</v>
      </c>
      <c r="C739" s="19"/>
      <c r="D739" s="19"/>
      <c r="E739" s="19"/>
      <c r="F739" s="19"/>
      <c r="G739" s="19"/>
      <c r="H739" s="20"/>
      <c r="I739" s="20"/>
      <c r="J739" s="20"/>
      <c r="K739" s="21"/>
      <c r="L739" s="2"/>
    </row>
    <row r="740" spans="1:12" x14ac:dyDescent="0.25">
      <c r="A740" s="58">
        <v>46052</v>
      </c>
      <c r="B740" s="18">
        <v>0.54166666666666663</v>
      </c>
      <c r="C740" s="19"/>
      <c r="D740" s="19"/>
      <c r="E740" s="19"/>
      <c r="F740" s="19"/>
      <c r="G740" s="19"/>
      <c r="H740" s="20"/>
      <c r="I740" s="20"/>
      <c r="J740" s="20"/>
      <c r="K740" s="21"/>
      <c r="L740" s="2"/>
    </row>
    <row r="741" spans="1:12" x14ac:dyDescent="0.25">
      <c r="A741" s="58">
        <v>46052</v>
      </c>
      <c r="B741" s="18">
        <v>0.58333333333333337</v>
      </c>
      <c r="C741" s="19"/>
      <c r="D741" s="19"/>
      <c r="E741" s="19"/>
      <c r="F741" s="19"/>
      <c r="G741" s="19"/>
      <c r="H741" s="20"/>
      <c r="I741" s="20"/>
      <c r="J741" s="20"/>
      <c r="K741" s="21"/>
      <c r="L741" s="2"/>
    </row>
    <row r="742" spans="1:12" x14ac:dyDescent="0.25">
      <c r="A742" s="58">
        <v>46052</v>
      </c>
      <c r="B742" s="18">
        <v>0.625</v>
      </c>
      <c r="C742" s="19"/>
      <c r="D742" s="19"/>
      <c r="E742" s="19"/>
      <c r="F742" s="19"/>
      <c r="G742" s="19"/>
      <c r="H742" s="20"/>
      <c r="I742" s="20"/>
      <c r="J742" s="20"/>
      <c r="K742" s="21"/>
      <c r="L742" s="2"/>
    </row>
    <row r="743" spans="1:12" x14ac:dyDescent="0.25">
      <c r="A743" s="58">
        <v>46052</v>
      </c>
      <c r="B743" s="18">
        <v>0.66666666666666663</v>
      </c>
      <c r="C743" s="19"/>
      <c r="D743" s="19"/>
      <c r="E743" s="19"/>
      <c r="F743" s="19"/>
      <c r="G743" s="19"/>
      <c r="H743" s="20"/>
      <c r="I743" s="20"/>
      <c r="J743" s="20"/>
      <c r="K743" s="21"/>
      <c r="L743" s="2"/>
    </row>
    <row r="744" spans="1:12" x14ac:dyDescent="0.25">
      <c r="A744" s="58">
        <v>46052</v>
      </c>
      <c r="B744" s="18">
        <v>0.70833333333333337</v>
      </c>
      <c r="C744" s="19"/>
      <c r="D744" s="19"/>
      <c r="E744" s="19"/>
      <c r="F744" s="19"/>
      <c r="G744" s="19"/>
      <c r="H744" s="20"/>
      <c r="I744" s="20"/>
      <c r="J744" s="20"/>
      <c r="K744" s="21"/>
      <c r="L744" s="2"/>
    </row>
    <row r="745" spans="1:12" x14ac:dyDescent="0.25">
      <c r="A745" s="58">
        <v>46052</v>
      </c>
      <c r="B745" s="18">
        <v>0.75</v>
      </c>
      <c r="C745" s="19"/>
      <c r="D745" s="19"/>
      <c r="E745" s="19"/>
      <c r="F745" s="19"/>
      <c r="G745" s="19"/>
      <c r="H745" s="20"/>
      <c r="I745" s="20"/>
      <c r="J745" s="20"/>
      <c r="K745" s="21"/>
      <c r="L745" s="2"/>
    </row>
    <row r="746" spans="1:12" x14ac:dyDescent="0.25">
      <c r="A746" s="58">
        <v>46052</v>
      </c>
      <c r="B746" s="18">
        <v>0.79166666666666663</v>
      </c>
      <c r="C746" s="19"/>
      <c r="D746" s="19"/>
      <c r="E746" s="19"/>
      <c r="F746" s="19"/>
      <c r="G746" s="19"/>
      <c r="H746" s="20"/>
      <c r="I746" s="20"/>
      <c r="J746" s="20"/>
      <c r="K746" s="21"/>
      <c r="L746" s="2"/>
    </row>
    <row r="747" spans="1:12" x14ac:dyDescent="0.25">
      <c r="A747" s="58">
        <v>46052</v>
      </c>
      <c r="B747" s="18">
        <v>0.83333333333333337</v>
      </c>
      <c r="C747" s="19"/>
      <c r="D747" s="19"/>
      <c r="E747" s="19"/>
      <c r="F747" s="19"/>
      <c r="G747" s="19"/>
      <c r="H747" s="20"/>
      <c r="I747" s="20"/>
      <c r="J747" s="20"/>
      <c r="K747" s="21"/>
      <c r="L747" s="2"/>
    </row>
    <row r="748" spans="1:12" x14ac:dyDescent="0.25">
      <c r="A748" s="58">
        <v>46052</v>
      </c>
      <c r="B748" s="18">
        <v>0.875</v>
      </c>
      <c r="C748" s="19"/>
      <c r="D748" s="19"/>
      <c r="E748" s="19"/>
      <c r="F748" s="19"/>
      <c r="G748" s="19"/>
      <c r="H748" s="20"/>
      <c r="I748" s="20"/>
      <c r="J748" s="20"/>
      <c r="K748" s="21"/>
      <c r="L748" s="2"/>
    </row>
    <row r="749" spans="1:12" x14ac:dyDescent="0.25">
      <c r="A749" s="58">
        <v>46052</v>
      </c>
      <c r="B749" s="18">
        <v>0.91666666666666663</v>
      </c>
      <c r="C749" s="19"/>
      <c r="D749" s="19"/>
      <c r="E749" s="19"/>
      <c r="F749" s="19"/>
      <c r="G749" s="19"/>
      <c r="H749" s="20"/>
      <c r="I749" s="20"/>
      <c r="J749" s="20"/>
      <c r="K749" s="21"/>
      <c r="L749" s="2"/>
    </row>
    <row r="750" spans="1:12" ht="15.75" thickBot="1" x14ac:dyDescent="0.3">
      <c r="A750" s="60">
        <v>46052</v>
      </c>
      <c r="B750" s="35">
        <v>0.95833333333333337</v>
      </c>
      <c r="C750" s="23"/>
      <c r="D750" s="23"/>
      <c r="E750" s="23"/>
      <c r="F750" s="23"/>
      <c r="G750" s="23"/>
      <c r="H750" s="24"/>
      <c r="I750" s="24"/>
      <c r="J750" s="24"/>
      <c r="K750" s="25"/>
      <c r="L750" s="2"/>
    </row>
    <row r="751" spans="1:12" ht="15.75" thickBot="1" x14ac:dyDescent="0.3">
      <c r="A751" s="26" t="s">
        <v>41</v>
      </c>
      <c r="B751" s="44"/>
      <c r="C751" s="45" t="str">
        <f t="shared" ref="C751:K751" si="29">IFERROR(ROUND(AVERAGE(C727:C750), 2), "")</f>
        <v/>
      </c>
      <c r="D751" s="45" t="str">
        <f t="shared" si="29"/>
        <v/>
      </c>
      <c r="E751" s="45" t="str">
        <f t="shared" si="29"/>
        <v/>
      </c>
      <c r="F751" s="45" t="str">
        <f t="shared" si="29"/>
        <v/>
      </c>
      <c r="G751" s="45" t="str">
        <f t="shared" si="29"/>
        <v/>
      </c>
      <c r="H751" s="45" t="str">
        <f t="shared" si="29"/>
        <v/>
      </c>
      <c r="I751" s="45" t="str">
        <f t="shared" si="29"/>
        <v/>
      </c>
      <c r="J751" s="45" t="str">
        <f t="shared" si="29"/>
        <v/>
      </c>
      <c r="K751" s="46" t="str">
        <f t="shared" si="29"/>
        <v/>
      </c>
      <c r="L751" s="7"/>
    </row>
    <row r="752" spans="1:12" x14ac:dyDescent="0.25">
      <c r="A752" s="57">
        <v>46053</v>
      </c>
      <c r="B752" s="14">
        <v>0</v>
      </c>
      <c r="C752" s="15"/>
      <c r="D752" s="15"/>
      <c r="E752" s="15"/>
      <c r="F752" s="15"/>
      <c r="G752" s="15"/>
      <c r="H752" s="16"/>
      <c r="I752" s="16"/>
      <c r="J752" s="16"/>
      <c r="K752" s="17"/>
      <c r="L752" s="2"/>
    </row>
    <row r="753" spans="1:12" x14ac:dyDescent="0.25">
      <c r="A753" s="58">
        <v>46053</v>
      </c>
      <c r="B753" s="18">
        <v>4.1666666666666664E-2</v>
      </c>
      <c r="C753" s="19"/>
      <c r="D753" s="19"/>
      <c r="E753" s="19"/>
      <c r="F753" s="19"/>
      <c r="G753" s="19"/>
      <c r="H753" s="20"/>
      <c r="I753" s="20"/>
      <c r="J753" s="20"/>
      <c r="K753" s="21"/>
      <c r="L753" s="2"/>
    </row>
    <row r="754" spans="1:12" x14ac:dyDescent="0.25">
      <c r="A754" s="58">
        <v>46053</v>
      </c>
      <c r="B754" s="18">
        <v>8.3333333333333329E-2</v>
      </c>
      <c r="C754" s="19"/>
      <c r="D754" s="19"/>
      <c r="E754" s="19"/>
      <c r="F754" s="19"/>
      <c r="G754" s="19"/>
      <c r="H754" s="20"/>
      <c r="I754" s="20"/>
      <c r="J754" s="20"/>
      <c r="K754" s="21"/>
      <c r="L754" s="2"/>
    </row>
    <row r="755" spans="1:12" x14ac:dyDescent="0.25">
      <c r="A755" s="58">
        <v>46053</v>
      </c>
      <c r="B755" s="18">
        <v>0.125</v>
      </c>
      <c r="C755" s="19"/>
      <c r="D755" s="19"/>
      <c r="E755" s="19"/>
      <c r="F755" s="19"/>
      <c r="G755" s="19"/>
      <c r="H755" s="20"/>
      <c r="I755" s="20"/>
      <c r="J755" s="20"/>
      <c r="K755" s="21"/>
      <c r="L755" s="2"/>
    </row>
    <row r="756" spans="1:12" x14ac:dyDescent="0.25">
      <c r="A756" s="58">
        <v>46053</v>
      </c>
      <c r="B756" s="18">
        <v>0.16666666666666666</v>
      </c>
      <c r="C756" s="19"/>
      <c r="D756" s="19"/>
      <c r="E756" s="19"/>
      <c r="F756" s="19"/>
      <c r="G756" s="19"/>
      <c r="H756" s="20"/>
      <c r="I756" s="20"/>
      <c r="J756" s="20"/>
      <c r="K756" s="21"/>
      <c r="L756" s="2"/>
    </row>
    <row r="757" spans="1:12" x14ac:dyDescent="0.25">
      <c r="A757" s="58">
        <v>46053</v>
      </c>
      <c r="B757" s="18">
        <v>0.20833333333333334</v>
      </c>
      <c r="C757" s="19"/>
      <c r="D757" s="19"/>
      <c r="E757" s="19"/>
      <c r="F757" s="19"/>
      <c r="G757" s="19"/>
      <c r="H757" s="20"/>
      <c r="I757" s="20"/>
      <c r="J757" s="20"/>
      <c r="K757" s="21"/>
      <c r="L757" s="2"/>
    </row>
    <row r="758" spans="1:12" x14ac:dyDescent="0.25">
      <c r="A758" s="58">
        <v>46053</v>
      </c>
      <c r="B758" s="18">
        <v>0.25</v>
      </c>
      <c r="C758" s="19"/>
      <c r="D758" s="19"/>
      <c r="E758" s="19"/>
      <c r="F758" s="19"/>
      <c r="G758" s="19"/>
      <c r="H758" s="20"/>
      <c r="I758" s="20"/>
      <c r="J758" s="20"/>
      <c r="K758" s="21"/>
      <c r="L758" s="2"/>
    </row>
    <row r="759" spans="1:12" x14ac:dyDescent="0.25">
      <c r="A759" s="58">
        <v>46053</v>
      </c>
      <c r="B759" s="18">
        <v>0.29166666666666669</v>
      </c>
      <c r="C759" s="19"/>
      <c r="D759" s="19"/>
      <c r="E759" s="19"/>
      <c r="F759" s="19"/>
      <c r="G759" s="19"/>
      <c r="H759" s="20"/>
      <c r="I759" s="20"/>
      <c r="J759" s="20"/>
      <c r="K759" s="21"/>
      <c r="L759" s="2"/>
    </row>
    <row r="760" spans="1:12" x14ac:dyDescent="0.25">
      <c r="A760" s="58">
        <v>46053</v>
      </c>
      <c r="B760" s="18">
        <v>0.33333333333333331</v>
      </c>
      <c r="C760" s="19"/>
      <c r="D760" s="19"/>
      <c r="E760" s="19"/>
      <c r="F760" s="19"/>
      <c r="G760" s="19"/>
      <c r="H760" s="20"/>
      <c r="I760" s="20"/>
      <c r="J760" s="20"/>
      <c r="K760" s="21"/>
      <c r="L760" s="2"/>
    </row>
    <row r="761" spans="1:12" x14ac:dyDescent="0.25">
      <c r="A761" s="58">
        <v>46053</v>
      </c>
      <c r="B761" s="18">
        <v>0.375</v>
      </c>
      <c r="C761" s="19"/>
      <c r="D761" s="19"/>
      <c r="E761" s="19"/>
      <c r="F761" s="19"/>
      <c r="G761" s="19"/>
      <c r="H761" s="20"/>
      <c r="I761" s="20"/>
      <c r="J761" s="20"/>
      <c r="K761" s="21"/>
      <c r="L761" s="2"/>
    </row>
    <row r="762" spans="1:12" x14ac:dyDescent="0.25">
      <c r="A762" s="58">
        <v>46053</v>
      </c>
      <c r="B762" s="18">
        <v>0.41666666666666669</v>
      </c>
      <c r="C762" s="19"/>
      <c r="D762" s="19"/>
      <c r="E762" s="19"/>
      <c r="F762" s="19"/>
      <c r="G762" s="19"/>
      <c r="H762" s="20"/>
      <c r="I762" s="20"/>
      <c r="J762" s="20"/>
      <c r="K762" s="21"/>
      <c r="L762" s="2"/>
    </row>
    <row r="763" spans="1:12" x14ac:dyDescent="0.25">
      <c r="A763" s="58">
        <v>46053</v>
      </c>
      <c r="B763" s="18">
        <v>0.45833333333333331</v>
      </c>
      <c r="C763" s="19"/>
      <c r="D763" s="19"/>
      <c r="E763" s="19"/>
      <c r="F763" s="19"/>
      <c r="G763" s="19"/>
      <c r="H763" s="20"/>
      <c r="I763" s="20"/>
      <c r="J763" s="20"/>
      <c r="K763" s="21"/>
      <c r="L763" s="2"/>
    </row>
    <row r="764" spans="1:12" x14ac:dyDescent="0.25">
      <c r="A764" s="58">
        <v>46053</v>
      </c>
      <c r="B764" s="18">
        <v>0.5</v>
      </c>
      <c r="C764" s="19"/>
      <c r="D764" s="19"/>
      <c r="E764" s="19"/>
      <c r="F764" s="19"/>
      <c r="G764" s="19"/>
      <c r="H764" s="20"/>
      <c r="I764" s="20"/>
      <c r="J764" s="20"/>
      <c r="K764" s="21"/>
      <c r="L764" s="2"/>
    </row>
    <row r="765" spans="1:12" x14ac:dyDescent="0.25">
      <c r="A765" s="58">
        <v>46053</v>
      </c>
      <c r="B765" s="18">
        <v>0.54166666666666663</v>
      </c>
      <c r="C765" s="19"/>
      <c r="D765" s="19"/>
      <c r="E765" s="19"/>
      <c r="F765" s="19"/>
      <c r="G765" s="19"/>
      <c r="H765" s="20"/>
      <c r="I765" s="20"/>
      <c r="J765" s="20"/>
      <c r="K765" s="21"/>
      <c r="L765" s="2"/>
    </row>
    <row r="766" spans="1:12" x14ac:dyDescent="0.25">
      <c r="A766" s="58">
        <v>46053</v>
      </c>
      <c r="B766" s="18">
        <v>0.58333333333333337</v>
      </c>
      <c r="C766" s="19"/>
      <c r="D766" s="19"/>
      <c r="E766" s="19"/>
      <c r="F766" s="19"/>
      <c r="G766" s="19"/>
      <c r="H766" s="20"/>
      <c r="I766" s="20"/>
      <c r="J766" s="20"/>
      <c r="K766" s="21"/>
      <c r="L766" s="2"/>
    </row>
    <row r="767" spans="1:12" x14ac:dyDescent="0.25">
      <c r="A767" s="58">
        <v>46053</v>
      </c>
      <c r="B767" s="18">
        <v>0.625</v>
      </c>
      <c r="C767" s="19"/>
      <c r="D767" s="19"/>
      <c r="E767" s="19"/>
      <c r="F767" s="19"/>
      <c r="G767" s="19"/>
      <c r="H767" s="20"/>
      <c r="I767" s="20"/>
      <c r="J767" s="20"/>
      <c r="K767" s="21"/>
      <c r="L767" s="2"/>
    </row>
    <row r="768" spans="1:12" x14ac:dyDescent="0.25">
      <c r="A768" s="58">
        <v>46053</v>
      </c>
      <c r="B768" s="18">
        <v>0.66666666666666663</v>
      </c>
      <c r="C768" s="19"/>
      <c r="D768" s="19"/>
      <c r="E768" s="19"/>
      <c r="F768" s="19"/>
      <c r="G768" s="19"/>
      <c r="H768" s="20"/>
      <c r="I768" s="20"/>
      <c r="J768" s="20"/>
      <c r="K768" s="21"/>
      <c r="L768" s="2"/>
    </row>
    <row r="769" spans="1:12" x14ac:dyDescent="0.25">
      <c r="A769" s="58">
        <v>46053</v>
      </c>
      <c r="B769" s="18">
        <v>0.70833333333333337</v>
      </c>
      <c r="C769" s="19"/>
      <c r="D769" s="19"/>
      <c r="E769" s="19"/>
      <c r="F769" s="19"/>
      <c r="G769" s="19"/>
      <c r="H769" s="20"/>
      <c r="I769" s="20"/>
      <c r="J769" s="20"/>
      <c r="K769" s="21"/>
      <c r="L769" s="2"/>
    </row>
    <row r="770" spans="1:12" x14ac:dyDescent="0.25">
      <c r="A770" s="58">
        <v>46053</v>
      </c>
      <c r="B770" s="18">
        <v>0.75</v>
      </c>
      <c r="C770" s="19"/>
      <c r="D770" s="19"/>
      <c r="E770" s="19"/>
      <c r="F770" s="19"/>
      <c r="G770" s="19"/>
      <c r="H770" s="20"/>
      <c r="I770" s="20"/>
      <c r="J770" s="20"/>
      <c r="K770" s="21"/>
      <c r="L770" s="2"/>
    </row>
    <row r="771" spans="1:12" x14ac:dyDescent="0.25">
      <c r="A771" s="58">
        <v>46053</v>
      </c>
      <c r="B771" s="18">
        <v>0.79166666666666663</v>
      </c>
      <c r="C771" s="19"/>
      <c r="D771" s="19"/>
      <c r="E771" s="19"/>
      <c r="F771" s="19"/>
      <c r="G771" s="19"/>
      <c r="H771" s="20"/>
      <c r="I771" s="20"/>
      <c r="J771" s="20"/>
      <c r="K771" s="21"/>
      <c r="L771" s="2"/>
    </row>
    <row r="772" spans="1:12" x14ac:dyDescent="0.25">
      <c r="A772" s="58">
        <v>46053</v>
      </c>
      <c r="B772" s="18">
        <v>0.83333333333333337</v>
      </c>
      <c r="C772" s="19"/>
      <c r="D772" s="19"/>
      <c r="E772" s="19"/>
      <c r="F772" s="19"/>
      <c r="G772" s="19"/>
      <c r="H772" s="20"/>
      <c r="I772" s="20"/>
      <c r="J772" s="20"/>
      <c r="K772" s="21"/>
      <c r="L772" s="2"/>
    </row>
    <row r="773" spans="1:12" x14ac:dyDescent="0.25">
      <c r="A773" s="58">
        <v>46053</v>
      </c>
      <c r="B773" s="18">
        <v>0.875</v>
      </c>
      <c r="C773" s="19"/>
      <c r="D773" s="19"/>
      <c r="E773" s="19"/>
      <c r="F773" s="19"/>
      <c r="G773" s="19"/>
      <c r="H773" s="20"/>
      <c r="I773" s="20"/>
      <c r="J773" s="20"/>
      <c r="K773" s="21"/>
      <c r="L773" s="2"/>
    </row>
    <row r="774" spans="1:12" x14ac:dyDescent="0.25">
      <c r="A774" s="58">
        <v>46053</v>
      </c>
      <c r="B774" s="18">
        <v>0.91666666666666663</v>
      </c>
      <c r="C774" s="19"/>
      <c r="D774" s="19"/>
      <c r="E774" s="19"/>
      <c r="F774" s="19"/>
      <c r="G774" s="19"/>
      <c r="H774" s="20"/>
      <c r="I774" s="20"/>
      <c r="J774" s="20"/>
      <c r="K774" s="21"/>
      <c r="L774" s="2"/>
    </row>
    <row r="775" spans="1:12" ht="15.75" thickBot="1" x14ac:dyDescent="0.3">
      <c r="A775" s="60">
        <v>46053</v>
      </c>
      <c r="B775" s="35">
        <v>0.95833333333333337</v>
      </c>
      <c r="C775" s="23"/>
      <c r="D775" s="23"/>
      <c r="E775" s="23"/>
      <c r="F775" s="23"/>
      <c r="G775" s="23"/>
      <c r="H775" s="24"/>
      <c r="I775" s="24"/>
      <c r="J775" s="24"/>
      <c r="K775" s="25"/>
      <c r="L775" s="2"/>
    </row>
    <row r="776" spans="1:12" ht="15.75" thickBot="1" x14ac:dyDescent="0.3">
      <c r="A776" s="26" t="s">
        <v>42</v>
      </c>
      <c r="B776" s="44"/>
      <c r="C776" s="45" t="str">
        <f t="shared" ref="C776:K776" si="30">IFERROR(ROUND(AVERAGE(C752:C775), 2), "")</f>
        <v/>
      </c>
      <c r="D776" s="45" t="str">
        <f t="shared" si="30"/>
        <v/>
      </c>
      <c r="E776" s="45" t="str">
        <f t="shared" si="30"/>
        <v/>
      </c>
      <c r="F776" s="45" t="str">
        <f t="shared" si="30"/>
        <v/>
      </c>
      <c r="G776" s="45" t="str">
        <f t="shared" si="30"/>
        <v/>
      </c>
      <c r="H776" s="45" t="str">
        <f t="shared" si="30"/>
        <v/>
      </c>
      <c r="I776" s="45" t="str">
        <f t="shared" si="30"/>
        <v/>
      </c>
      <c r="J776" s="45" t="str">
        <f t="shared" si="30"/>
        <v/>
      </c>
      <c r="K776" s="46" t="str">
        <f t="shared" si="30"/>
        <v/>
      </c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43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1">
        <v>46023</v>
      </c>
      <c r="B779" s="47"/>
      <c r="C779" s="48" t="str">
        <f t="shared" ref="C779:K779" si="31">C26</f>
        <v/>
      </c>
      <c r="D779" s="48" t="str">
        <f t="shared" si="31"/>
        <v/>
      </c>
      <c r="E779" s="48" t="str">
        <f t="shared" si="31"/>
        <v/>
      </c>
      <c r="F779" s="48" t="str">
        <f t="shared" si="31"/>
        <v/>
      </c>
      <c r="G779" s="48" t="str">
        <f t="shared" si="31"/>
        <v/>
      </c>
      <c r="H779" s="48" t="str">
        <f t="shared" si="31"/>
        <v/>
      </c>
      <c r="I779" s="48" t="str">
        <f t="shared" si="31"/>
        <v/>
      </c>
      <c r="J779" s="48" t="str">
        <f t="shared" si="31"/>
        <v/>
      </c>
      <c r="K779" s="49" t="str">
        <f t="shared" si="31"/>
        <v/>
      </c>
      <c r="L779" s="8"/>
    </row>
    <row r="780" spans="1:12" x14ac:dyDescent="0.25">
      <c r="A780" s="62">
        <v>46024</v>
      </c>
      <c r="B780" s="50"/>
      <c r="C780" s="51" t="str">
        <f t="shared" ref="C780:K780" si="32">C51</f>
        <v/>
      </c>
      <c r="D780" s="51" t="str">
        <f t="shared" si="32"/>
        <v/>
      </c>
      <c r="E780" s="51" t="str">
        <f t="shared" si="32"/>
        <v/>
      </c>
      <c r="F780" s="51" t="str">
        <f t="shared" si="32"/>
        <v/>
      </c>
      <c r="G780" s="51" t="str">
        <f t="shared" si="32"/>
        <v/>
      </c>
      <c r="H780" s="51" t="str">
        <f t="shared" si="32"/>
        <v/>
      </c>
      <c r="I780" s="51" t="str">
        <f t="shared" si="32"/>
        <v/>
      </c>
      <c r="J780" s="51" t="str">
        <f t="shared" si="32"/>
        <v/>
      </c>
      <c r="K780" s="52" t="str">
        <f t="shared" si="32"/>
        <v/>
      </c>
      <c r="L780" s="8"/>
    </row>
    <row r="781" spans="1:12" x14ac:dyDescent="0.25">
      <c r="A781" s="62">
        <v>46025</v>
      </c>
      <c r="B781" s="50"/>
      <c r="C781" s="51" t="str">
        <f t="shared" ref="C781:K781" si="33">C76</f>
        <v/>
      </c>
      <c r="D781" s="51" t="str">
        <f t="shared" si="33"/>
        <v/>
      </c>
      <c r="E781" s="51" t="str">
        <f t="shared" si="33"/>
        <v/>
      </c>
      <c r="F781" s="51" t="str">
        <f t="shared" si="33"/>
        <v/>
      </c>
      <c r="G781" s="51" t="str">
        <f t="shared" si="33"/>
        <v/>
      </c>
      <c r="H781" s="51" t="str">
        <f t="shared" si="33"/>
        <v/>
      </c>
      <c r="I781" s="51" t="str">
        <f t="shared" si="33"/>
        <v/>
      </c>
      <c r="J781" s="51" t="str">
        <f t="shared" si="33"/>
        <v/>
      </c>
      <c r="K781" s="52" t="str">
        <f t="shared" si="33"/>
        <v/>
      </c>
      <c r="L781" s="8"/>
    </row>
    <row r="782" spans="1:12" x14ac:dyDescent="0.25">
      <c r="A782" s="62">
        <v>46026</v>
      </c>
      <c r="B782" s="50"/>
      <c r="C782" s="51" t="str">
        <f t="shared" ref="C782:K782" si="34">C101</f>
        <v/>
      </c>
      <c r="D782" s="51" t="str">
        <f t="shared" si="34"/>
        <v/>
      </c>
      <c r="E782" s="51" t="str">
        <f t="shared" si="34"/>
        <v/>
      </c>
      <c r="F782" s="51" t="str">
        <f t="shared" si="34"/>
        <v/>
      </c>
      <c r="G782" s="51" t="str">
        <f t="shared" si="34"/>
        <v/>
      </c>
      <c r="H782" s="51" t="str">
        <f t="shared" si="34"/>
        <v/>
      </c>
      <c r="I782" s="51" t="str">
        <f t="shared" si="34"/>
        <v/>
      </c>
      <c r="J782" s="51" t="str">
        <f t="shared" si="34"/>
        <v/>
      </c>
      <c r="K782" s="52" t="str">
        <f t="shared" si="34"/>
        <v/>
      </c>
      <c r="L782" s="8"/>
    </row>
    <row r="783" spans="1:12" x14ac:dyDescent="0.25">
      <c r="A783" s="62">
        <v>46027</v>
      </c>
      <c r="B783" s="50"/>
      <c r="C783" s="51" t="str">
        <f t="shared" ref="C783:K783" si="35">C126</f>
        <v/>
      </c>
      <c r="D783" s="51" t="str">
        <f t="shared" si="35"/>
        <v/>
      </c>
      <c r="E783" s="51" t="str">
        <f t="shared" si="35"/>
        <v/>
      </c>
      <c r="F783" s="51" t="str">
        <f t="shared" si="35"/>
        <v/>
      </c>
      <c r="G783" s="51" t="str">
        <f t="shared" si="35"/>
        <v/>
      </c>
      <c r="H783" s="51" t="str">
        <f t="shared" si="35"/>
        <v/>
      </c>
      <c r="I783" s="51" t="str">
        <f t="shared" si="35"/>
        <v/>
      </c>
      <c r="J783" s="51" t="str">
        <f t="shared" si="35"/>
        <v/>
      </c>
      <c r="K783" s="52" t="str">
        <f t="shared" si="35"/>
        <v/>
      </c>
      <c r="L783" s="8"/>
    </row>
    <row r="784" spans="1:12" x14ac:dyDescent="0.25">
      <c r="A784" s="62">
        <v>46028</v>
      </c>
      <c r="B784" s="50"/>
      <c r="C784" s="51" t="str">
        <f t="shared" ref="C784:K784" si="36">C151</f>
        <v/>
      </c>
      <c r="D784" s="51" t="str">
        <f t="shared" si="36"/>
        <v/>
      </c>
      <c r="E784" s="51" t="str">
        <f t="shared" si="36"/>
        <v/>
      </c>
      <c r="F784" s="51" t="str">
        <f t="shared" si="36"/>
        <v/>
      </c>
      <c r="G784" s="51" t="str">
        <f>G151</f>
        <v/>
      </c>
      <c r="H784" s="51" t="str">
        <f t="shared" si="36"/>
        <v/>
      </c>
      <c r="I784" s="51" t="str">
        <f t="shared" si="36"/>
        <v/>
      </c>
      <c r="J784" s="51" t="str">
        <f t="shared" si="36"/>
        <v/>
      </c>
      <c r="K784" s="52" t="str">
        <f t="shared" si="36"/>
        <v/>
      </c>
      <c r="L784" s="8"/>
    </row>
    <row r="785" spans="1:12" x14ac:dyDescent="0.25">
      <c r="A785" s="62">
        <v>46029</v>
      </c>
      <c r="B785" s="50"/>
      <c r="C785" s="51" t="str">
        <f t="shared" ref="C785:K785" si="37">C176</f>
        <v/>
      </c>
      <c r="D785" s="51" t="str">
        <f t="shared" si="37"/>
        <v/>
      </c>
      <c r="E785" s="51" t="str">
        <f t="shared" si="37"/>
        <v/>
      </c>
      <c r="F785" s="51" t="str">
        <f t="shared" si="37"/>
        <v/>
      </c>
      <c r="G785" s="51" t="str">
        <f t="shared" si="37"/>
        <v/>
      </c>
      <c r="H785" s="51" t="str">
        <f t="shared" si="37"/>
        <v/>
      </c>
      <c r="I785" s="51" t="str">
        <f t="shared" si="37"/>
        <v/>
      </c>
      <c r="J785" s="51" t="str">
        <f t="shared" si="37"/>
        <v/>
      </c>
      <c r="K785" s="52" t="str">
        <f t="shared" si="37"/>
        <v/>
      </c>
      <c r="L785" s="8"/>
    </row>
    <row r="786" spans="1:12" x14ac:dyDescent="0.25">
      <c r="A786" s="62">
        <v>46030</v>
      </c>
      <c r="B786" s="50"/>
      <c r="C786" s="51" t="str">
        <f t="shared" ref="C786:K786" si="38">C201</f>
        <v/>
      </c>
      <c r="D786" s="51" t="str">
        <f t="shared" si="38"/>
        <v/>
      </c>
      <c r="E786" s="51" t="str">
        <f t="shared" si="38"/>
        <v/>
      </c>
      <c r="F786" s="51" t="str">
        <f t="shared" si="38"/>
        <v/>
      </c>
      <c r="G786" s="51" t="str">
        <f t="shared" si="38"/>
        <v/>
      </c>
      <c r="H786" s="51" t="str">
        <f t="shared" si="38"/>
        <v/>
      </c>
      <c r="I786" s="51" t="str">
        <f t="shared" si="38"/>
        <v/>
      </c>
      <c r="J786" s="51" t="str">
        <f t="shared" si="38"/>
        <v/>
      </c>
      <c r="K786" s="52" t="str">
        <f t="shared" si="38"/>
        <v/>
      </c>
      <c r="L786" s="8"/>
    </row>
    <row r="787" spans="1:12" x14ac:dyDescent="0.25">
      <c r="A787" s="62">
        <v>46031</v>
      </c>
      <c r="B787" s="50"/>
      <c r="C787" s="51" t="str">
        <f t="shared" ref="C787:K787" si="39">C226</f>
        <v/>
      </c>
      <c r="D787" s="51" t="str">
        <f t="shared" si="39"/>
        <v/>
      </c>
      <c r="E787" s="51" t="str">
        <f t="shared" si="39"/>
        <v/>
      </c>
      <c r="F787" s="51" t="str">
        <f t="shared" si="39"/>
        <v/>
      </c>
      <c r="G787" s="51" t="str">
        <f t="shared" si="39"/>
        <v/>
      </c>
      <c r="H787" s="51" t="str">
        <f t="shared" si="39"/>
        <v/>
      </c>
      <c r="I787" s="51" t="str">
        <f t="shared" si="39"/>
        <v/>
      </c>
      <c r="J787" s="51" t="str">
        <f t="shared" si="39"/>
        <v/>
      </c>
      <c r="K787" s="52" t="str">
        <f t="shared" si="39"/>
        <v/>
      </c>
      <c r="L787" s="8"/>
    </row>
    <row r="788" spans="1:12" x14ac:dyDescent="0.25">
      <c r="A788" s="62">
        <v>46032</v>
      </c>
      <c r="B788" s="50"/>
      <c r="C788" s="51" t="str">
        <f t="shared" ref="C788:K788" si="40">C251</f>
        <v/>
      </c>
      <c r="D788" s="51" t="str">
        <f t="shared" si="40"/>
        <v/>
      </c>
      <c r="E788" s="51" t="str">
        <f t="shared" si="40"/>
        <v/>
      </c>
      <c r="F788" s="51" t="str">
        <f t="shared" si="40"/>
        <v/>
      </c>
      <c r="G788" s="51" t="str">
        <f t="shared" si="40"/>
        <v/>
      </c>
      <c r="H788" s="51" t="str">
        <f t="shared" si="40"/>
        <v/>
      </c>
      <c r="I788" s="51" t="str">
        <f t="shared" si="40"/>
        <v/>
      </c>
      <c r="J788" s="51" t="str">
        <f t="shared" si="40"/>
        <v/>
      </c>
      <c r="K788" s="52" t="str">
        <f t="shared" si="40"/>
        <v/>
      </c>
      <c r="L788" s="8"/>
    </row>
    <row r="789" spans="1:12" x14ac:dyDescent="0.25">
      <c r="A789" s="62">
        <v>46033</v>
      </c>
      <c r="B789" s="50"/>
      <c r="C789" s="51" t="str">
        <f t="shared" ref="C789:K789" si="41">C276</f>
        <v/>
      </c>
      <c r="D789" s="51" t="str">
        <f t="shared" si="41"/>
        <v/>
      </c>
      <c r="E789" s="51" t="str">
        <f t="shared" si="41"/>
        <v/>
      </c>
      <c r="F789" s="51" t="str">
        <f t="shared" si="41"/>
        <v/>
      </c>
      <c r="G789" s="51" t="str">
        <f t="shared" si="41"/>
        <v/>
      </c>
      <c r="H789" s="51" t="str">
        <f t="shared" si="41"/>
        <v/>
      </c>
      <c r="I789" s="51" t="str">
        <f t="shared" si="41"/>
        <v/>
      </c>
      <c r="J789" s="51" t="str">
        <f t="shared" si="41"/>
        <v/>
      </c>
      <c r="K789" s="52" t="str">
        <f t="shared" si="41"/>
        <v/>
      </c>
      <c r="L789" s="8"/>
    </row>
    <row r="790" spans="1:12" x14ac:dyDescent="0.25">
      <c r="A790" s="62">
        <v>46034</v>
      </c>
      <c r="B790" s="50"/>
      <c r="C790" s="51" t="str">
        <f t="shared" ref="C790:K790" si="42">C301</f>
        <v/>
      </c>
      <c r="D790" s="51" t="str">
        <f t="shared" si="42"/>
        <v/>
      </c>
      <c r="E790" s="51" t="str">
        <f t="shared" si="42"/>
        <v/>
      </c>
      <c r="F790" s="51" t="str">
        <f t="shared" si="42"/>
        <v/>
      </c>
      <c r="G790" s="51" t="str">
        <f t="shared" si="42"/>
        <v/>
      </c>
      <c r="H790" s="51" t="str">
        <f t="shared" si="42"/>
        <v/>
      </c>
      <c r="I790" s="51" t="str">
        <f t="shared" si="42"/>
        <v/>
      </c>
      <c r="J790" s="51" t="str">
        <f t="shared" si="42"/>
        <v/>
      </c>
      <c r="K790" s="52" t="str">
        <f t="shared" si="42"/>
        <v/>
      </c>
      <c r="L790" s="8"/>
    </row>
    <row r="791" spans="1:12" x14ac:dyDescent="0.25">
      <c r="A791" s="62">
        <v>46035</v>
      </c>
      <c r="B791" s="50"/>
      <c r="C791" s="51" t="str">
        <f t="shared" ref="C791:K791" si="43">C326</f>
        <v/>
      </c>
      <c r="D791" s="51" t="str">
        <f t="shared" si="43"/>
        <v/>
      </c>
      <c r="E791" s="51" t="str">
        <f t="shared" si="43"/>
        <v/>
      </c>
      <c r="F791" s="51" t="str">
        <f t="shared" si="43"/>
        <v/>
      </c>
      <c r="G791" s="51" t="str">
        <f t="shared" si="43"/>
        <v/>
      </c>
      <c r="H791" s="51" t="str">
        <f t="shared" si="43"/>
        <v/>
      </c>
      <c r="I791" s="51" t="str">
        <f t="shared" si="43"/>
        <v/>
      </c>
      <c r="J791" s="51" t="str">
        <f t="shared" si="43"/>
        <v/>
      </c>
      <c r="K791" s="52" t="str">
        <f t="shared" si="43"/>
        <v/>
      </c>
      <c r="L791" s="8"/>
    </row>
    <row r="792" spans="1:12" x14ac:dyDescent="0.25">
      <c r="A792" s="62">
        <v>46036</v>
      </c>
      <c r="B792" s="50"/>
      <c r="C792" s="51" t="str">
        <f t="shared" ref="C792:K792" si="44">C351</f>
        <v/>
      </c>
      <c r="D792" s="51" t="str">
        <f t="shared" si="44"/>
        <v/>
      </c>
      <c r="E792" s="51" t="str">
        <f t="shared" si="44"/>
        <v/>
      </c>
      <c r="F792" s="51" t="str">
        <f t="shared" si="44"/>
        <v/>
      </c>
      <c r="G792" s="51" t="str">
        <f t="shared" si="44"/>
        <v/>
      </c>
      <c r="H792" s="51" t="str">
        <f t="shared" si="44"/>
        <v/>
      </c>
      <c r="I792" s="51" t="str">
        <f t="shared" si="44"/>
        <v/>
      </c>
      <c r="J792" s="51" t="str">
        <f t="shared" si="44"/>
        <v/>
      </c>
      <c r="K792" s="52" t="str">
        <f t="shared" si="44"/>
        <v/>
      </c>
      <c r="L792" s="8"/>
    </row>
    <row r="793" spans="1:12" x14ac:dyDescent="0.25">
      <c r="A793" s="62">
        <v>46037</v>
      </c>
      <c r="B793" s="50"/>
      <c r="C793" s="51" t="str">
        <f t="shared" ref="C793:K793" si="45">C376</f>
        <v/>
      </c>
      <c r="D793" s="51" t="str">
        <f t="shared" si="45"/>
        <v/>
      </c>
      <c r="E793" s="51" t="str">
        <f t="shared" si="45"/>
        <v/>
      </c>
      <c r="F793" s="51" t="str">
        <f t="shared" si="45"/>
        <v/>
      </c>
      <c r="G793" s="51" t="str">
        <f t="shared" si="45"/>
        <v/>
      </c>
      <c r="H793" s="51" t="str">
        <f t="shared" si="45"/>
        <v/>
      </c>
      <c r="I793" s="51" t="str">
        <f t="shared" si="45"/>
        <v/>
      </c>
      <c r="J793" s="51" t="str">
        <f t="shared" si="45"/>
        <v/>
      </c>
      <c r="K793" s="52" t="str">
        <f t="shared" si="45"/>
        <v/>
      </c>
      <c r="L793" s="8"/>
    </row>
    <row r="794" spans="1:12" x14ac:dyDescent="0.25">
      <c r="A794" s="62">
        <v>46038</v>
      </c>
      <c r="B794" s="50"/>
      <c r="C794" s="51" t="str">
        <f t="shared" ref="C794:K794" si="46">C401</f>
        <v/>
      </c>
      <c r="D794" s="51" t="str">
        <f t="shared" si="46"/>
        <v/>
      </c>
      <c r="E794" s="51" t="str">
        <f t="shared" si="46"/>
        <v/>
      </c>
      <c r="F794" s="51" t="str">
        <f t="shared" si="46"/>
        <v/>
      </c>
      <c r="G794" s="51" t="str">
        <f t="shared" si="46"/>
        <v/>
      </c>
      <c r="H794" s="51" t="str">
        <f t="shared" si="46"/>
        <v/>
      </c>
      <c r="I794" s="51" t="str">
        <f t="shared" si="46"/>
        <v/>
      </c>
      <c r="J794" s="51" t="str">
        <f t="shared" si="46"/>
        <v/>
      </c>
      <c r="K794" s="52" t="str">
        <f t="shared" si="46"/>
        <v/>
      </c>
      <c r="L794" s="8"/>
    </row>
    <row r="795" spans="1:12" x14ac:dyDescent="0.25">
      <c r="A795" s="62">
        <v>46039</v>
      </c>
      <c r="B795" s="50"/>
      <c r="C795" s="51" t="str">
        <f t="shared" ref="C795:K795" si="47">C426</f>
        <v/>
      </c>
      <c r="D795" s="51" t="str">
        <f t="shared" si="47"/>
        <v/>
      </c>
      <c r="E795" s="51" t="str">
        <f t="shared" si="47"/>
        <v/>
      </c>
      <c r="F795" s="51" t="str">
        <f t="shared" si="47"/>
        <v/>
      </c>
      <c r="G795" s="51" t="str">
        <f t="shared" si="47"/>
        <v/>
      </c>
      <c r="H795" s="51" t="str">
        <f t="shared" si="47"/>
        <v/>
      </c>
      <c r="I795" s="51" t="str">
        <f t="shared" si="47"/>
        <v/>
      </c>
      <c r="J795" s="51" t="str">
        <f t="shared" si="47"/>
        <v/>
      </c>
      <c r="K795" s="52" t="str">
        <f t="shared" si="47"/>
        <v/>
      </c>
      <c r="L795" s="8"/>
    </row>
    <row r="796" spans="1:12" x14ac:dyDescent="0.25">
      <c r="A796" s="62">
        <v>46040</v>
      </c>
      <c r="B796" s="50"/>
      <c r="C796" s="51" t="str">
        <f t="shared" ref="C796:K796" si="48">C451</f>
        <v/>
      </c>
      <c r="D796" s="51" t="str">
        <f t="shared" si="48"/>
        <v/>
      </c>
      <c r="E796" s="51" t="str">
        <f t="shared" si="48"/>
        <v/>
      </c>
      <c r="F796" s="51" t="str">
        <f t="shared" si="48"/>
        <v/>
      </c>
      <c r="G796" s="51" t="str">
        <f t="shared" si="48"/>
        <v/>
      </c>
      <c r="H796" s="51" t="str">
        <f t="shared" si="48"/>
        <v/>
      </c>
      <c r="I796" s="51" t="str">
        <f t="shared" si="48"/>
        <v/>
      </c>
      <c r="J796" s="51" t="str">
        <f t="shared" si="48"/>
        <v/>
      </c>
      <c r="K796" s="52" t="str">
        <f t="shared" si="48"/>
        <v/>
      </c>
      <c r="L796" s="8"/>
    </row>
    <row r="797" spans="1:12" x14ac:dyDescent="0.25">
      <c r="A797" s="62">
        <v>46041</v>
      </c>
      <c r="B797" s="50"/>
      <c r="C797" s="51" t="str">
        <f t="shared" ref="C797:K797" si="49">C476</f>
        <v/>
      </c>
      <c r="D797" s="51" t="str">
        <f t="shared" si="49"/>
        <v/>
      </c>
      <c r="E797" s="51" t="str">
        <f t="shared" si="49"/>
        <v/>
      </c>
      <c r="F797" s="51" t="str">
        <f t="shared" si="49"/>
        <v/>
      </c>
      <c r="G797" s="51" t="str">
        <f t="shared" si="49"/>
        <v/>
      </c>
      <c r="H797" s="51" t="str">
        <f t="shared" si="49"/>
        <v/>
      </c>
      <c r="I797" s="51" t="str">
        <f t="shared" si="49"/>
        <v/>
      </c>
      <c r="J797" s="51" t="str">
        <f t="shared" si="49"/>
        <v/>
      </c>
      <c r="K797" s="52" t="str">
        <f t="shared" si="49"/>
        <v/>
      </c>
      <c r="L797" s="8"/>
    </row>
    <row r="798" spans="1:12" x14ac:dyDescent="0.25">
      <c r="A798" s="62">
        <v>46042</v>
      </c>
      <c r="B798" s="50"/>
      <c r="C798" s="51" t="str">
        <f t="shared" ref="C798:K798" si="50">C501</f>
        <v/>
      </c>
      <c r="D798" s="51" t="str">
        <f t="shared" si="50"/>
        <v/>
      </c>
      <c r="E798" s="51" t="str">
        <f t="shared" si="50"/>
        <v/>
      </c>
      <c r="F798" s="51" t="str">
        <f t="shared" si="50"/>
        <v/>
      </c>
      <c r="G798" s="51" t="str">
        <f t="shared" si="50"/>
        <v/>
      </c>
      <c r="H798" s="51" t="str">
        <f t="shared" si="50"/>
        <v/>
      </c>
      <c r="I798" s="51" t="str">
        <f t="shared" si="50"/>
        <v/>
      </c>
      <c r="J798" s="51" t="str">
        <f t="shared" si="50"/>
        <v/>
      </c>
      <c r="K798" s="52" t="str">
        <f t="shared" si="50"/>
        <v/>
      </c>
      <c r="L798" s="8"/>
    </row>
    <row r="799" spans="1:12" x14ac:dyDescent="0.25">
      <c r="A799" s="62">
        <v>46043</v>
      </c>
      <c r="B799" s="50"/>
      <c r="C799" s="51" t="str">
        <f t="shared" ref="C799:K799" si="51">C526</f>
        <v/>
      </c>
      <c r="D799" s="51" t="str">
        <f t="shared" si="51"/>
        <v/>
      </c>
      <c r="E799" s="51" t="str">
        <f t="shared" si="51"/>
        <v/>
      </c>
      <c r="F799" s="51" t="str">
        <f t="shared" si="51"/>
        <v/>
      </c>
      <c r="G799" s="51" t="str">
        <f t="shared" si="51"/>
        <v/>
      </c>
      <c r="H799" s="51" t="str">
        <f t="shared" si="51"/>
        <v/>
      </c>
      <c r="I799" s="51" t="str">
        <f t="shared" si="51"/>
        <v/>
      </c>
      <c r="J799" s="51" t="str">
        <f t="shared" si="51"/>
        <v/>
      </c>
      <c r="K799" s="52" t="str">
        <f t="shared" si="51"/>
        <v/>
      </c>
      <c r="L799" s="8"/>
    </row>
    <row r="800" spans="1:12" x14ac:dyDescent="0.25">
      <c r="A800" s="62">
        <v>46044</v>
      </c>
      <c r="B800" s="50"/>
      <c r="C800" s="51" t="str">
        <f t="shared" ref="C800:K800" si="52">C551</f>
        <v/>
      </c>
      <c r="D800" s="51" t="str">
        <f t="shared" si="52"/>
        <v/>
      </c>
      <c r="E800" s="51" t="str">
        <f t="shared" si="52"/>
        <v/>
      </c>
      <c r="F800" s="51" t="str">
        <f t="shared" si="52"/>
        <v/>
      </c>
      <c r="G800" s="51" t="str">
        <f t="shared" si="52"/>
        <v/>
      </c>
      <c r="H800" s="51" t="str">
        <f t="shared" si="52"/>
        <v/>
      </c>
      <c r="I800" s="51" t="str">
        <f t="shared" si="52"/>
        <v/>
      </c>
      <c r="J800" s="51" t="str">
        <f t="shared" si="52"/>
        <v/>
      </c>
      <c r="K800" s="52" t="str">
        <f t="shared" si="52"/>
        <v/>
      </c>
      <c r="L800" s="8"/>
    </row>
    <row r="801" spans="1:12" x14ac:dyDescent="0.25">
      <c r="A801" s="62">
        <v>46045</v>
      </c>
      <c r="B801" s="50"/>
      <c r="C801" s="51" t="str">
        <f t="shared" ref="C801:K801" si="53">C576</f>
        <v/>
      </c>
      <c r="D801" s="51" t="str">
        <f t="shared" si="53"/>
        <v/>
      </c>
      <c r="E801" s="51" t="str">
        <f t="shared" si="53"/>
        <v/>
      </c>
      <c r="F801" s="51" t="str">
        <f t="shared" si="53"/>
        <v/>
      </c>
      <c r="G801" s="51" t="str">
        <f t="shared" si="53"/>
        <v/>
      </c>
      <c r="H801" s="51" t="str">
        <f t="shared" si="53"/>
        <v/>
      </c>
      <c r="I801" s="51" t="str">
        <f t="shared" si="53"/>
        <v/>
      </c>
      <c r="J801" s="51" t="str">
        <f t="shared" si="53"/>
        <v/>
      </c>
      <c r="K801" s="52" t="str">
        <f t="shared" si="53"/>
        <v/>
      </c>
      <c r="L801" s="8"/>
    </row>
    <row r="802" spans="1:12" x14ac:dyDescent="0.25">
      <c r="A802" s="62">
        <v>46046</v>
      </c>
      <c r="B802" s="50"/>
      <c r="C802" s="51" t="str">
        <f t="shared" ref="C802:K802" si="54">C601</f>
        <v/>
      </c>
      <c r="D802" s="51" t="str">
        <f t="shared" si="54"/>
        <v/>
      </c>
      <c r="E802" s="51" t="str">
        <f t="shared" si="54"/>
        <v/>
      </c>
      <c r="F802" s="51" t="str">
        <f t="shared" si="54"/>
        <v/>
      </c>
      <c r="G802" s="51" t="str">
        <f t="shared" si="54"/>
        <v/>
      </c>
      <c r="H802" s="51" t="str">
        <f t="shared" si="54"/>
        <v/>
      </c>
      <c r="I802" s="51" t="str">
        <f t="shared" si="54"/>
        <v/>
      </c>
      <c r="J802" s="51" t="str">
        <f t="shared" si="54"/>
        <v/>
      </c>
      <c r="K802" s="52" t="str">
        <f t="shared" si="54"/>
        <v/>
      </c>
      <c r="L802" s="8"/>
    </row>
    <row r="803" spans="1:12" x14ac:dyDescent="0.25">
      <c r="A803" s="62">
        <v>46047</v>
      </c>
      <c r="B803" s="50"/>
      <c r="C803" s="53" t="str">
        <f t="shared" ref="C803:K803" si="55">C626</f>
        <v/>
      </c>
      <c r="D803" s="53" t="str">
        <f t="shared" si="55"/>
        <v/>
      </c>
      <c r="E803" s="53" t="str">
        <f t="shared" si="55"/>
        <v/>
      </c>
      <c r="F803" s="53" t="str">
        <f t="shared" si="55"/>
        <v/>
      </c>
      <c r="G803" s="53" t="str">
        <f t="shared" si="55"/>
        <v/>
      </c>
      <c r="H803" s="53" t="str">
        <f t="shared" si="55"/>
        <v/>
      </c>
      <c r="I803" s="53" t="str">
        <f t="shared" si="55"/>
        <v/>
      </c>
      <c r="J803" s="53" t="str">
        <f t="shared" si="55"/>
        <v/>
      </c>
      <c r="K803" s="54" t="str">
        <f t="shared" si="55"/>
        <v/>
      </c>
      <c r="L803" s="9"/>
    </row>
    <row r="804" spans="1:12" x14ac:dyDescent="0.25">
      <c r="A804" s="62">
        <v>46048</v>
      </c>
      <c r="B804" s="50"/>
      <c r="C804" s="53" t="str">
        <f t="shared" ref="C804:K804" si="56">C651</f>
        <v/>
      </c>
      <c r="D804" s="53" t="str">
        <f t="shared" si="56"/>
        <v/>
      </c>
      <c r="E804" s="53" t="str">
        <f t="shared" si="56"/>
        <v/>
      </c>
      <c r="F804" s="53" t="str">
        <f t="shared" si="56"/>
        <v/>
      </c>
      <c r="G804" s="53" t="str">
        <f t="shared" si="56"/>
        <v/>
      </c>
      <c r="H804" s="53" t="str">
        <f t="shared" si="56"/>
        <v/>
      </c>
      <c r="I804" s="53" t="str">
        <f t="shared" si="56"/>
        <v/>
      </c>
      <c r="J804" s="53" t="str">
        <f t="shared" si="56"/>
        <v/>
      </c>
      <c r="K804" s="54" t="str">
        <f t="shared" si="56"/>
        <v/>
      </c>
      <c r="L804" s="9"/>
    </row>
    <row r="805" spans="1:12" x14ac:dyDescent="0.25">
      <c r="A805" s="62">
        <v>46049</v>
      </c>
      <c r="B805" s="50"/>
      <c r="C805" s="53" t="str">
        <f t="shared" ref="C805:K805" si="57">C676</f>
        <v/>
      </c>
      <c r="D805" s="53" t="str">
        <f t="shared" si="57"/>
        <v/>
      </c>
      <c r="E805" s="53" t="str">
        <f t="shared" si="57"/>
        <v/>
      </c>
      <c r="F805" s="53" t="str">
        <f t="shared" si="57"/>
        <v/>
      </c>
      <c r="G805" s="53" t="str">
        <f t="shared" si="57"/>
        <v/>
      </c>
      <c r="H805" s="53" t="str">
        <f t="shared" si="57"/>
        <v/>
      </c>
      <c r="I805" s="53" t="str">
        <f t="shared" si="57"/>
        <v/>
      </c>
      <c r="J805" s="53" t="str">
        <f t="shared" si="57"/>
        <v/>
      </c>
      <c r="K805" s="54" t="str">
        <f t="shared" si="57"/>
        <v/>
      </c>
      <c r="L805" s="9"/>
    </row>
    <row r="806" spans="1:12" x14ac:dyDescent="0.25">
      <c r="A806" s="62">
        <v>46050</v>
      </c>
      <c r="B806" s="50"/>
      <c r="C806" s="53" t="str">
        <f t="shared" ref="C806:K806" si="58">C701</f>
        <v/>
      </c>
      <c r="D806" s="53" t="str">
        <f t="shared" si="58"/>
        <v/>
      </c>
      <c r="E806" s="53" t="str">
        <f t="shared" si="58"/>
        <v/>
      </c>
      <c r="F806" s="53" t="str">
        <f t="shared" si="58"/>
        <v/>
      </c>
      <c r="G806" s="53" t="str">
        <f t="shared" si="58"/>
        <v/>
      </c>
      <c r="H806" s="53" t="str">
        <f t="shared" si="58"/>
        <v/>
      </c>
      <c r="I806" s="53" t="str">
        <f t="shared" si="58"/>
        <v/>
      </c>
      <c r="J806" s="53" t="str">
        <f t="shared" si="58"/>
        <v/>
      </c>
      <c r="K806" s="54" t="str">
        <f t="shared" si="58"/>
        <v/>
      </c>
      <c r="L806" s="9"/>
    </row>
    <row r="807" spans="1:12" x14ac:dyDescent="0.25">
      <c r="A807" s="62">
        <v>46051</v>
      </c>
      <c r="B807" s="50"/>
      <c r="C807" s="53" t="str">
        <f t="shared" ref="C807:K807" si="59">C726</f>
        <v/>
      </c>
      <c r="D807" s="53" t="str">
        <f t="shared" si="59"/>
        <v/>
      </c>
      <c r="E807" s="53" t="str">
        <f t="shared" si="59"/>
        <v/>
      </c>
      <c r="F807" s="53" t="str">
        <f t="shared" si="59"/>
        <v/>
      </c>
      <c r="G807" s="53" t="str">
        <f t="shared" si="59"/>
        <v/>
      </c>
      <c r="H807" s="53" t="str">
        <f t="shared" si="59"/>
        <v/>
      </c>
      <c r="I807" s="53" t="str">
        <f t="shared" si="59"/>
        <v/>
      </c>
      <c r="J807" s="53" t="str">
        <f t="shared" si="59"/>
        <v/>
      </c>
      <c r="K807" s="54" t="str">
        <f t="shared" si="59"/>
        <v/>
      </c>
      <c r="L807" s="9"/>
    </row>
    <row r="808" spans="1:12" x14ac:dyDescent="0.25">
      <c r="A808" s="62">
        <v>46052</v>
      </c>
      <c r="B808" s="50"/>
      <c r="C808" s="53" t="str">
        <f t="shared" ref="C808:K808" si="60">C751</f>
        <v/>
      </c>
      <c r="D808" s="53" t="str">
        <f t="shared" si="60"/>
        <v/>
      </c>
      <c r="E808" s="53" t="str">
        <f>E751</f>
        <v/>
      </c>
      <c r="F808" s="53" t="str">
        <f t="shared" si="60"/>
        <v/>
      </c>
      <c r="G808" s="53" t="str">
        <f t="shared" si="60"/>
        <v/>
      </c>
      <c r="H808" s="53" t="str">
        <f t="shared" si="60"/>
        <v/>
      </c>
      <c r="I808" s="53" t="str">
        <f t="shared" si="60"/>
        <v/>
      </c>
      <c r="J808" s="53" t="str">
        <f t="shared" si="60"/>
        <v/>
      </c>
      <c r="K808" s="54" t="str">
        <f t="shared" si="60"/>
        <v/>
      </c>
      <c r="L808" s="9"/>
    </row>
    <row r="809" spans="1:12" x14ac:dyDescent="0.25">
      <c r="A809" s="62">
        <v>46053</v>
      </c>
      <c r="B809" s="50"/>
      <c r="C809" s="53" t="str">
        <f t="shared" ref="C809:K809" si="61">C776</f>
        <v/>
      </c>
      <c r="D809" s="53" t="str">
        <f t="shared" si="61"/>
        <v/>
      </c>
      <c r="E809" s="53" t="str">
        <f t="shared" si="61"/>
        <v/>
      </c>
      <c r="F809" s="53" t="str">
        <f t="shared" si="61"/>
        <v/>
      </c>
      <c r="G809" s="53" t="str">
        <f t="shared" si="61"/>
        <v/>
      </c>
      <c r="H809" s="53" t="str">
        <f t="shared" si="61"/>
        <v/>
      </c>
      <c r="I809" s="53" t="str">
        <f t="shared" si="61"/>
        <v/>
      </c>
      <c r="J809" s="53" t="str">
        <f t="shared" si="61"/>
        <v/>
      </c>
      <c r="K809" s="54" t="str">
        <f t="shared" si="61"/>
        <v/>
      </c>
      <c r="L809" s="9"/>
    </row>
    <row r="810" spans="1:12" ht="15.75" thickBot="1" x14ac:dyDescent="0.3">
      <c r="A810" s="41" t="s">
        <v>44</v>
      </c>
      <c r="B810" s="55"/>
      <c r="C810" s="56" t="str">
        <f t="shared" ref="C810:K810" si="62">IFERROR(ROUND(AVERAGE(C779:C809), 3), "")</f>
        <v/>
      </c>
      <c r="D810" s="56" t="str">
        <f t="shared" si="62"/>
        <v/>
      </c>
      <c r="E810" s="56" t="str">
        <f t="shared" si="62"/>
        <v/>
      </c>
      <c r="F810" s="56" t="str">
        <f t="shared" si="62"/>
        <v/>
      </c>
      <c r="G810" s="56" t="str">
        <f t="shared" si="62"/>
        <v/>
      </c>
      <c r="H810" s="56" t="str">
        <f t="shared" si="62"/>
        <v/>
      </c>
      <c r="I810" s="56" t="str">
        <f t="shared" si="62"/>
        <v/>
      </c>
      <c r="J810" s="56" t="str">
        <f t="shared" si="62"/>
        <v/>
      </c>
      <c r="K810" s="56" t="str">
        <f t="shared" si="62"/>
        <v/>
      </c>
      <c r="L810" s="4"/>
    </row>
    <row r="811" spans="1:12" x14ac:dyDescent="0.25">
      <c r="B811" s="13"/>
      <c r="J811" s="63" t="s">
        <v>0</v>
      </c>
      <c r="K811" s="6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OFHiobTp2R1mx0avjacCbBOrXmLwyx878S6Np8P5c3rjBlbFszqRU4zA4OCUKVl6d5e81R0feMU6tPSGvUp/MA==" saltValue="xbiLNcwg57+mkusFkkY1f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03291-A0FD-496D-A807-FCEB6CD780B7}">
  <sheetPr codeName="Sheet3"/>
  <dimension ref="A1:L1475"/>
  <sheetViews>
    <sheetView workbookViewId="0">
      <pane ySplit="1" topLeftCell="A584" activePane="bottomLeft" state="frozen"/>
      <selection pane="bottomLeft" activeCell="P598" sqref="P598"/>
    </sheetView>
  </sheetViews>
  <sheetFormatPr defaultRowHeight="15" x14ac:dyDescent="0.25"/>
  <cols>
    <col min="1" max="1" width="20.42578125" style="10" customWidth="1"/>
    <col min="2" max="2" width="16.5703125" customWidth="1"/>
    <col min="3" max="7" width="12.7109375" customWidth="1"/>
    <col min="8" max="8" width="14.85546875" customWidth="1"/>
    <col min="9" max="11" width="12.7109375" customWidth="1"/>
    <col min="12" max="12" width="9.140625" customWidth="1"/>
  </cols>
  <sheetData>
    <row r="1" spans="1:12" ht="15.75" thickBot="1" x14ac:dyDescent="0.3">
      <c r="A1" s="29" t="s">
        <v>1</v>
      </c>
      <c r="B1" s="30" t="s">
        <v>11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10</v>
      </c>
      <c r="I1" s="30" t="s">
        <v>9</v>
      </c>
      <c r="J1" s="30" t="s">
        <v>8</v>
      </c>
      <c r="K1" s="30" t="s">
        <v>7</v>
      </c>
      <c r="L1" s="6"/>
    </row>
    <row r="2" spans="1:12" x14ac:dyDescent="0.25">
      <c r="A2" s="57">
        <v>46054</v>
      </c>
      <c r="B2" s="14">
        <v>0</v>
      </c>
      <c r="C2" s="15">
        <v>6.88</v>
      </c>
      <c r="D2" s="15">
        <v>69.36</v>
      </c>
      <c r="E2" s="15">
        <v>3.39</v>
      </c>
      <c r="F2" s="15">
        <v>6.22</v>
      </c>
      <c r="G2" s="15">
        <v>17.43</v>
      </c>
      <c r="H2" s="16">
        <v>13.98</v>
      </c>
      <c r="I2" s="16">
        <v>35.619999999999997</v>
      </c>
      <c r="J2" s="16">
        <v>937.95</v>
      </c>
      <c r="K2" s="17">
        <v>918538.66999999993</v>
      </c>
    </row>
    <row r="3" spans="1:12" x14ac:dyDescent="0.25">
      <c r="A3" s="58">
        <v>46054</v>
      </c>
      <c r="B3" s="18">
        <v>4.1666666666666664E-2</v>
      </c>
      <c r="C3" s="19">
        <v>5.91</v>
      </c>
      <c r="D3" s="19">
        <v>70.14</v>
      </c>
      <c r="E3" s="19">
        <v>2.2400000000000002</v>
      </c>
      <c r="F3" s="19">
        <v>3.2</v>
      </c>
      <c r="G3" s="19">
        <v>17.420000000000002</v>
      </c>
      <c r="H3" s="20">
        <v>13.97</v>
      </c>
      <c r="I3" s="20">
        <v>35.42</v>
      </c>
      <c r="J3" s="20">
        <v>938.32</v>
      </c>
      <c r="K3" s="21">
        <v>906990.8600000001</v>
      </c>
      <c r="L3" s="2"/>
    </row>
    <row r="4" spans="1:12" x14ac:dyDescent="0.25">
      <c r="A4" s="58">
        <v>46054</v>
      </c>
      <c r="B4" s="18">
        <v>8.3333333333333329E-2</v>
      </c>
      <c r="C4" s="19">
        <v>6.28</v>
      </c>
      <c r="D4" s="19">
        <v>71.09</v>
      </c>
      <c r="E4" s="19">
        <v>1.1599999999999999</v>
      </c>
      <c r="F4" s="19">
        <v>2.15</v>
      </c>
      <c r="G4" s="19">
        <v>17.41</v>
      </c>
      <c r="H4" s="20">
        <v>13.95</v>
      </c>
      <c r="I4" s="20">
        <v>35.32</v>
      </c>
      <c r="J4" s="20">
        <v>938.98</v>
      </c>
      <c r="K4" s="21">
        <v>910655.57000000007</v>
      </c>
      <c r="L4" s="2"/>
    </row>
    <row r="5" spans="1:12" x14ac:dyDescent="0.25">
      <c r="A5" s="58">
        <v>46054</v>
      </c>
      <c r="B5" s="18">
        <v>0.125</v>
      </c>
      <c r="C5" s="19">
        <v>6.98</v>
      </c>
      <c r="D5" s="19">
        <v>77.86</v>
      </c>
      <c r="E5" s="19">
        <v>1.17</v>
      </c>
      <c r="F5" s="19">
        <v>1.51</v>
      </c>
      <c r="G5" s="19">
        <v>17.5</v>
      </c>
      <c r="H5" s="20">
        <v>13.91</v>
      </c>
      <c r="I5" s="20">
        <v>34.61</v>
      </c>
      <c r="J5" s="20">
        <v>939.58</v>
      </c>
      <c r="K5" s="21">
        <v>913414.29</v>
      </c>
      <c r="L5" s="2"/>
    </row>
    <row r="6" spans="1:12" x14ac:dyDescent="0.25">
      <c r="A6" s="58">
        <v>46054</v>
      </c>
      <c r="B6" s="18">
        <v>0.16666666666666666</v>
      </c>
      <c r="C6" s="19">
        <v>5.04</v>
      </c>
      <c r="D6" s="19">
        <v>78.36</v>
      </c>
      <c r="E6" s="19">
        <v>1.1200000000000001</v>
      </c>
      <c r="F6" s="19">
        <v>0.79</v>
      </c>
      <c r="G6" s="19">
        <v>17.54</v>
      </c>
      <c r="H6" s="20">
        <v>13.87</v>
      </c>
      <c r="I6" s="20">
        <v>33.75</v>
      </c>
      <c r="J6" s="20">
        <v>939.9</v>
      </c>
      <c r="K6" s="21">
        <v>916713.17999999993</v>
      </c>
      <c r="L6" s="2"/>
    </row>
    <row r="7" spans="1:12" x14ac:dyDescent="0.25">
      <c r="A7" s="58">
        <v>46054</v>
      </c>
      <c r="B7" s="18">
        <v>0.20833333333333334</v>
      </c>
      <c r="C7" s="19">
        <v>5.63</v>
      </c>
      <c r="D7" s="19">
        <v>76.88</v>
      </c>
      <c r="E7" s="19">
        <v>0.95</v>
      </c>
      <c r="F7" s="19">
        <v>0.38</v>
      </c>
      <c r="G7" s="19">
        <v>17.510000000000002</v>
      </c>
      <c r="H7" s="20">
        <v>13.85</v>
      </c>
      <c r="I7" s="20">
        <v>33.56</v>
      </c>
      <c r="J7" s="20">
        <v>940.28</v>
      </c>
      <c r="K7" s="21">
        <v>910587.22</v>
      </c>
      <c r="L7" s="2"/>
    </row>
    <row r="8" spans="1:12" x14ac:dyDescent="0.25">
      <c r="A8" s="58">
        <v>46054</v>
      </c>
      <c r="B8" s="18">
        <v>0.25</v>
      </c>
      <c r="C8" s="19">
        <v>5.97</v>
      </c>
      <c r="D8" s="19">
        <v>74.91</v>
      </c>
      <c r="E8" s="19">
        <v>1.1100000000000001</v>
      </c>
      <c r="F8" s="19">
        <v>0.25</v>
      </c>
      <c r="G8" s="19">
        <v>17.52</v>
      </c>
      <c r="H8" s="20">
        <v>13.83</v>
      </c>
      <c r="I8" s="20">
        <v>33.15</v>
      </c>
      <c r="J8" s="20">
        <v>940.76</v>
      </c>
      <c r="K8" s="21">
        <v>922849.99</v>
      </c>
      <c r="L8" s="2"/>
    </row>
    <row r="9" spans="1:12" x14ac:dyDescent="0.25">
      <c r="A9" s="58">
        <v>46054</v>
      </c>
      <c r="B9" s="18">
        <v>0.29166666666666669</v>
      </c>
      <c r="C9" s="19">
        <v>6.63</v>
      </c>
      <c r="D9" s="19">
        <v>75.349999999999994</v>
      </c>
      <c r="E9" s="19">
        <v>1.05</v>
      </c>
      <c r="F9" s="19">
        <v>0.11</v>
      </c>
      <c r="G9" s="19">
        <v>17.52</v>
      </c>
      <c r="H9" s="20">
        <v>13.81</v>
      </c>
      <c r="I9" s="20">
        <v>32.950000000000003</v>
      </c>
      <c r="J9" s="20">
        <v>941.13</v>
      </c>
      <c r="K9" s="21">
        <v>937491.8899999999</v>
      </c>
      <c r="L9" s="2"/>
    </row>
    <row r="10" spans="1:12" x14ac:dyDescent="0.25">
      <c r="A10" s="58">
        <v>46054</v>
      </c>
      <c r="B10" s="18">
        <v>0.33333333333333331</v>
      </c>
      <c r="C10" s="19">
        <v>7.33</v>
      </c>
      <c r="D10" s="19">
        <v>73.39</v>
      </c>
      <c r="E10" s="19">
        <v>0.79</v>
      </c>
      <c r="F10" s="19">
        <v>0.12</v>
      </c>
      <c r="G10" s="19">
        <v>17.510000000000002</v>
      </c>
      <c r="H10" s="20">
        <v>13.8</v>
      </c>
      <c r="I10" s="20">
        <v>32.869999999999997</v>
      </c>
      <c r="J10" s="20">
        <v>941.41</v>
      </c>
      <c r="K10" s="21">
        <v>928384.6399999999</v>
      </c>
      <c r="L10" s="2"/>
    </row>
    <row r="11" spans="1:12" x14ac:dyDescent="0.25">
      <c r="A11" s="58">
        <v>46054</v>
      </c>
      <c r="B11" s="18">
        <v>0.375</v>
      </c>
      <c r="C11" s="19">
        <v>7.35</v>
      </c>
      <c r="D11" s="19">
        <v>73.680000000000007</v>
      </c>
      <c r="E11" s="19">
        <v>0.86</v>
      </c>
      <c r="F11" s="19">
        <v>0.27</v>
      </c>
      <c r="G11" s="19">
        <v>17.5</v>
      </c>
      <c r="H11" s="20">
        <v>13.83</v>
      </c>
      <c r="I11" s="20">
        <v>33.549999999999997</v>
      </c>
      <c r="J11" s="20">
        <v>941.68</v>
      </c>
      <c r="K11" s="21">
        <v>925101.01</v>
      </c>
      <c r="L11" s="2"/>
    </row>
    <row r="12" spans="1:12" x14ac:dyDescent="0.25">
      <c r="A12" s="58">
        <v>46054</v>
      </c>
      <c r="B12" s="18">
        <v>0.41666666666666669</v>
      </c>
      <c r="C12" s="19">
        <v>7.53</v>
      </c>
      <c r="D12" s="19">
        <v>74.64</v>
      </c>
      <c r="E12" s="19">
        <v>1.35</v>
      </c>
      <c r="F12" s="19">
        <v>0.05</v>
      </c>
      <c r="G12" s="19">
        <v>17.54</v>
      </c>
      <c r="H12" s="20">
        <v>13.85</v>
      </c>
      <c r="I12" s="20">
        <v>34.119999999999997</v>
      </c>
      <c r="J12" s="20">
        <v>942.2</v>
      </c>
      <c r="K12" s="21">
        <v>931726.37000000011</v>
      </c>
      <c r="L12" s="2"/>
    </row>
    <row r="13" spans="1:12" x14ac:dyDescent="0.25">
      <c r="A13" s="58">
        <v>46054</v>
      </c>
      <c r="B13" s="18">
        <v>0.45833333333333331</v>
      </c>
      <c r="C13" s="19">
        <v>6.5</v>
      </c>
      <c r="D13" s="19">
        <v>74.150000000000006</v>
      </c>
      <c r="E13" s="19">
        <v>1.43</v>
      </c>
      <c r="F13" s="19">
        <v>0.08</v>
      </c>
      <c r="G13" s="19">
        <v>17.52</v>
      </c>
      <c r="H13" s="20">
        <v>13.89</v>
      </c>
      <c r="I13" s="20">
        <v>35.06</v>
      </c>
      <c r="J13" s="20">
        <v>942.06</v>
      </c>
      <c r="K13" s="21">
        <v>903533.8899999999</v>
      </c>
      <c r="L13" s="2"/>
    </row>
    <row r="14" spans="1:12" x14ac:dyDescent="0.25">
      <c r="A14" s="58">
        <v>46054</v>
      </c>
      <c r="B14" s="18">
        <v>0.5</v>
      </c>
      <c r="C14" s="19">
        <v>6.74</v>
      </c>
      <c r="D14" s="19">
        <v>72.7</v>
      </c>
      <c r="E14" s="19">
        <v>1.05</v>
      </c>
      <c r="F14" s="19">
        <v>7.0000000000000007E-2</v>
      </c>
      <c r="G14" s="19">
        <v>17.47</v>
      </c>
      <c r="H14" s="20">
        <v>13.96</v>
      </c>
      <c r="I14" s="20">
        <v>36.520000000000003</v>
      </c>
      <c r="J14" s="20">
        <v>941.72</v>
      </c>
      <c r="K14" s="21">
        <v>889089.24</v>
      </c>
      <c r="L14" s="2"/>
    </row>
    <row r="15" spans="1:12" x14ac:dyDescent="0.25">
      <c r="A15" s="58">
        <v>46054</v>
      </c>
      <c r="B15" s="18">
        <v>0.54166666666666663</v>
      </c>
      <c r="C15" s="19">
        <v>6.61</v>
      </c>
      <c r="D15" s="19">
        <v>70.790000000000006</v>
      </c>
      <c r="E15" s="19">
        <v>1.07</v>
      </c>
      <c r="F15" s="19">
        <v>0.19</v>
      </c>
      <c r="G15" s="19">
        <v>17.45</v>
      </c>
      <c r="H15" s="20">
        <v>14</v>
      </c>
      <c r="I15" s="20">
        <v>37.200000000000003</v>
      </c>
      <c r="J15" s="20">
        <v>941.58</v>
      </c>
      <c r="K15" s="21">
        <v>882061.79</v>
      </c>
      <c r="L15" s="2"/>
    </row>
    <row r="16" spans="1:12" x14ac:dyDescent="0.25">
      <c r="A16" s="58">
        <v>46054</v>
      </c>
      <c r="B16" s="18">
        <v>0.58333333333333337</v>
      </c>
      <c r="C16" s="19">
        <v>6.13</v>
      </c>
      <c r="D16" s="19">
        <v>70.75</v>
      </c>
      <c r="E16" s="19">
        <v>0.98</v>
      </c>
      <c r="F16" s="19">
        <v>0.26</v>
      </c>
      <c r="G16" s="19">
        <v>17.440000000000001</v>
      </c>
      <c r="H16" s="20">
        <v>14.02</v>
      </c>
      <c r="I16" s="20">
        <v>37.67</v>
      </c>
      <c r="J16" s="20">
        <v>941.42</v>
      </c>
      <c r="K16" s="21">
        <v>880831.16999999993</v>
      </c>
      <c r="L16" s="2"/>
    </row>
    <row r="17" spans="1:12" x14ac:dyDescent="0.25">
      <c r="A17" s="58">
        <v>46054</v>
      </c>
      <c r="B17" s="18">
        <v>0.625</v>
      </c>
      <c r="C17" s="19">
        <v>6.64</v>
      </c>
      <c r="D17" s="19">
        <v>70.14</v>
      </c>
      <c r="E17" s="19">
        <v>1</v>
      </c>
      <c r="F17" s="19">
        <v>0.32</v>
      </c>
      <c r="G17" s="19">
        <v>17.43</v>
      </c>
      <c r="H17" s="20">
        <v>14.03</v>
      </c>
      <c r="I17" s="20">
        <v>37.92</v>
      </c>
      <c r="J17" s="20">
        <v>941.39</v>
      </c>
      <c r="K17" s="21">
        <v>878905.04</v>
      </c>
      <c r="L17" s="2"/>
    </row>
    <row r="18" spans="1:12" x14ac:dyDescent="0.25">
      <c r="A18" s="58">
        <v>46054</v>
      </c>
      <c r="B18" s="18">
        <v>0.66666666666666663</v>
      </c>
      <c r="C18" s="19">
        <v>6.1</v>
      </c>
      <c r="D18" s="19">
        <v>70.09</v>
      </c>
      <c r="E18" s="19">
        <v>0.88</v>
      </c>
      <c r="F18" s="19">
        <v>0.34</v>
      </c>
      <c r="G18" s="19">
        <v>17.440000000000001</v>
      </c>
      <c r="H18" s="20">
        <v>14.03</v>
      </c>
      <c r="I18" s="20">
        <v>37.86</v>
      </c>
      <c r="J18" s="20">
        <v>941.54</v>
      </c>
      <c r="K18" s="21">
        <v>880332.87000000011</v>
      </c>
      <c r="L18" s="2"/>
    </row>
    <row r="19" spans="1:12" x14ac:dyDescent="0.25">
      <c r="A19" s="58">
        <v>46054</v>
      </c>
      <c r="B19" s="18">
        <v>0.70833333333333337</v>
      </c>
      <c r="C19" s="19">
        <v>6.82</v>
      </c>
      <c r="D19" s="19">
        <v>71.89</v>
      </c>
      <c r="E19" s="19">
        <v>0.83</v>
      </c>
      <c r="F19" s="19">
        <v>0.21</v>
      </c>
      <c r="G19" s="19">
        <v>17.47</v>
      </c>
      <c r="H19" s="20">
        <v>14</v>
      </c>
      <c r="I19" s="20">
        <v>37.299999999999997</v>
      </c>
      <c r="J19" s="20">
        <v>941.65</v>
      </c>
      <c r="K19" s="21">
        <v>882362.32000000007</v>
      </c>
      <c r="L19" s="2"/>
    </row>
    <row r="20" spans="1:12" x14ac:dyDescent="0.25">
      <c r="A20" s="58">
        <v>46054</v>
      </c>
      <c r="B20" s="18">
        <v>0.75</v>
      </c>
      <c r="C20" s="19">
        <v>5.6</v>
      </c>
      <c r="D20" s="19">
        <v>72.23</v>
      </c>
      <c r="E20" s="19">
        <v>1.07</v>
      </c>
      <c r="F20" s="19">
        <v>0.23</v>
      </c>
      <c r="G20" s="19">
        <v>17.47</v>
      </c>
      <c r="H20" s="20">
        <v>13.98</v>
      </c>
      <c r="I20" s="20">
        <v>36.799999999999997</v>
      </c>
      <c r="J20" s="20">
        <v>941.92</v>
      </c>
      <c r="K20" s="21">
        <v>884678.33000000007</v>
      </c>
      <c r="L20" s="2"/>
    </row>
    <row r="21" spans="1:12" x14ac:dyDescent="0.25">
      <c r="A21" s="58">
        <v>46054</v>
      </c>
      <c r="B21" s="18">
        <v>0.79166666666666663</v>
      </c>
      <c r="C21" s="19">
        <v>6</v>
      </c>
      <c r="D21" s="19">
        <v>72.92</v>
      </c>
      <c r="E21" s="19">
        <v>0.93</v>
      </c>
      <c r="F21" s="19">
        <v>0.23</v>
      </c>
      <c r="G21" s="19">
        <v>17.47</v>
      </c>
      <c r="H21" s="20">
        <v>13.96</v>
      </c>
      <c r="I21" s="20">
        <v>36.5</v>
      </c>
      <c r="J21" s="20">
        <v>941.86</v>
      </c>
      <c r="K21" s="21">
        <v>883539.64999999991</v>
      </c>
      <c r="L21" s="2"/>
    </row>
    <row r="22" spans="1:12" x14ac:dyDescent="0.25">
      <c r="A22" s="58">
        <v>46054</v>
      </c>
      <c r="B22" s="18">
        <v>0.83333333333333337</v>
      </c>
      <c r="C22" s="19">
        <v>6.33</v>
      </c>
      <c r="D22" s="19">
        <v>77.37</v>
      </c>
      <c r="E22" s="19">
        <v>0.89</v>
      </c>
      <c r="F22" s="19">
        <v>0.28000000000000003</v>
      </c>
      <c r="G22" s="19">
        <v>17.53</v>
      </c>
      <c r="H22" s="20">
        <v>13.95</v>
      </c>
      <c r="I22" s="20">
        <v>36.24</v>
      </c>
      <c r="J22" s="20">
        <v>941.82</v>
      </c>
      <c r="K22" s="21">
        <v>878467.46</v>
      </c>
      <c r="L22" s="2"/>
    </row>
    <row r="23" spans="1:12" x14ac:dyDescent="0.25">
      <c r="A23" s="58">
        <v>46054</v>
      </c>
      <c r="B23" s="18">
        <v>0.875</v>
      </c>
      <c r="C23" s="19">
        <v>3.83</v>
      </c>
      <c r="D23" s="19">
        <v>78.47</v>
      </c>
      <c r="E23" s="19">
        <v>0.83</v>
      </c>
      <c r="F23" s="19">
        <v>0.18</v>
      </c>
      <c r="G23" s="19">
        <v>17.510000000000002</v>
      </c>
      <c r="H23" s="20">
        <v>13.95</v>
      </c>
      <c r="I23" s="20">
        <v>36.03</v>
      </c>
      <c r="J23" s="20">
        <v>941.44</v>
      </c>
      <c r="K23" s="21">
        <v>880423.79</v>
      </c>
      <c r="L23" s="2"/>
    </row>
    <row r="24" spans="1:12" x14ac:dyDescent="0.25">
      <c r="A24" s="58">
        <v>46054</v>
      </c>
      <c r="B24" s="18">
        <v>0.91666666666666663</v>
      </c>
      <c r="C24" s="19">
        <v>5.74</v>
      </c>
      <c r="D24" s="19">
        <v>78.28</v>
      </c>
      <c r="E24" s="19">
        <v>0.65</v>
      </c>
      <c r="F24" s="19">
        <v>0.08</v>
      </c>
      <c r="G24" s="19">
        <v>17.510000000000002</v>
      </c>
      <c r="H24" s="20">
        <v>13.96</v>
      </c>
      <c r="I24" s="20">
        <v>36.340000000000003</v>
      </c>
      <c r="J24" s="20">
        <v>941.34</v>
      </c>
      <c r="K24" s="21">
        <v>880772.04</v>
      </c>
      <c r="L24" s="2"/>
    </row>
    <row r="25" spans="1:12" ht="15.75" thickBot="1" x14ac:dyDescent="0.3">
      <c r="A25" s="59">
        <v>46054</v>
      </c>
      <c r="B25" s="22">
        <v>0.95833333333333337</v>
      </c>
      <c r="C25" s="23">
        <v>4.88</v>
      </c>
      <c r="D25" s="23">
        <v>78.28</v>
      </c>
      <c r="E25" s="23">
        <v>0.67</v>
      </c>
      <c r="F25" s="23">
        <v>0.15</v>
      </c>
      <c r="G25" s="23">
        <v>17.510000000000002</v>
      </c>
      <c r="H25" s="24">
        <v>13.96</v>
      </c>
      <c r="I25" s="24">
        <v>36.1</v>
      </c>
      <c r="J25" s="24">
        <v>940.97</v>
      </c>
      <c r="K25" s="25">
        <v>882764.46</v>
      </c>
      <c r="L25" s="2"/>
    </row>
    <row r="26" spans="1:12" ht="15.75" thickBot="1" x14ac:dyDescent="0.3">
      <c r="A26" s="26" t="s">
        <v>45</v>
      </c>
      <c r="B26" s="43"/>
      <c r="C26" s="27">
        <f t="shared" ref="C26:K26" si="0">IFERROR(ROUND(AVERAGE(C2:C25), 2), "")</f>
        <v>6.23</v>
      </c>
      <c r="D26" s="27">
        <f t="shared" si="0"/>
        <v>73.91</v>
      </c>
      <c r="E26" s="27">
        <f t="shared" si="0"/>
        <v>1.1399999999999999</v>
      </c>
      <c r="F26" s="27">
        <f t="shared" si="0"/>
        <v>0.74</v>
      </c>
      <c r="G26" s="27">
        <f t="shared" si="0"/>
        <v>17.48</v>
      </c>
      <c r="H26" s="27">
        <f t="shared" si="0"/>
        <v>13.93</v>
      </c>
      <c r="I26" s="27">
        <f t="shared" si="0"/>
        <v>35.520000000000003</v>
      </c>
      <c r="J26" s="27">
        <f t="shared" si="0"/>
        <v>940.95</v>
      </c>
      <c r="K26" s="28">
        <f t="shared" si="0"/>
        <v>900425.66</v>
      </c>
      <c r="L26" s="7"/>
    </row>
    <row r="27" spans="1:12" x14ac:dyDescent="0.25">
      <c r="A27" s="57">
        <v>46055</v>
      </c>
      <c r="B27" s="14">
        <v>0</v>
      </c>
      <c r="C27" s="16">
        <v>5.0599999999999996</v>
      </c>
      <c r="D27" s="16">
        <v>78.55</v>
      </c>
      <c r="E27" s="16">
        <v>0.66</v>
      </c>
      <c r="F27" s="16">
        <v>0.05</v>
      </c>
      <c r="G27" s="16">
        <v>17.52</v>
      </c>
      <c r="H27" s="16">
        <v>13.96</v>
      </c>
      <c r="I27" s="16">
        <v>35.950000000000003</v>
      </c>
      <c r="J27" s="16">
        <v>940.42</v>
      </c>
      <c r="K27" s="31">
        <v>887977.53</v>
      </c>
      <c r="L27" s="1"/>
    </row>
    <row r="28" spans="1:12" x14ac:dyDescent="0.25">
      <c r="A28" s="58">
        <v>46055</v>
      </c>
      <c r="B28" s="18">
        <v>4.1666666666666664E-2</v>
      </c>
      <c r="C28" s="20">
        <v>5.59</v>
      </c>
      <c r="D28" s="20">
        <v>77.98</v>
      </c>
      <c r="E28" s="20">
        <v>0.68</v>
      </c>
      <c r="F28" s="20">
        <v>0.04</v>
      </c>
      <c r="G28" s="20">
        <v>17.48</v>
      </c>
      <c r="H28" s="20">
        <v>13.97</v>
      </c>
      <c r="I28" s="20">
        <v>35.97</v>
      </c>
      <c r="J28" s="20">
        <v>939.9</v>
      </c>
      <c r="K28" s="32">
        <v>873381.71</v>
      </c>
      <c r="L28" s="1"/>
    </row>
    <row r="29" spans="1:12" x14ac:dyDescent="0.25">
      <c r="A29" s="58">
        <v>46055</v>
      </c>
      <c r="B29" s="18">
        <v>8.3333333333333329E-2</v>
      </c>
      <c r="C29" s="20">
        <v>5.09</v>
      </c>
      <c r="D29" s="20">
        <v>79</v>
      </c>
      <c r="E29" s="20">
        <v>0.75</v>
      </c>
      <c r="F29" s="20">
        <v>0.2</v>
      </c>
      <c r="G29" s="20">
        <v>17.489999999999998</v>
      </c>
      <c r="H29" s="20">
        <v>13.96</v>
      </c>
      <c r="I29" s="20">
        <v>35.71</v>
      </c>
      <c r="J29" s="20">
        <v>939.72</v>
      </c>
      <c r="K29" s="32">
        <v>873832.29</v>
      </c>
      <c r="L29" s="1"/>
    </row>
    <row r="30" spans="1:12" x14ac:dyDescent="0.25">
      <c r="A30" s="58">
        <v>46055</v>
      </c>
      <c r="B30" s="18">
        <v>0.125</v>
      </c>
      <c r="C30" s="20">
        <v>6.63</v>
      </c>
      <c r="D30" s="20">
        <v>79.06</v>
      </c>
      <c r="E30" s="20">
        <v>0.74</v>
      </c>
      <c r="F30" s="20">
        <v>0.14000000000000001</v>
      </c>
      <c r="G30" s="20">
        <v>17.489999999999998</v>
      </c>
      <c r="H30" s="20">
        <v>13.97</v>
      </c>
      <c r="I30" s="20">
        <v>35.72</v>
      </c>
      <c r="J30" s="20">
        <v>939.21</v>
      </c>
      <c r="K30" s="32">
        <v>867195.89999999991</v>
      </c>
      <c r="L30" s="1"/>
    </row>
    <row r="31" spans="1:12" x14ac:dyDescent="0.25">
      <c r="A31" s="58">
        <v>46055</v>
      </c>
      <c r="B31" s="18">
        <v>0.16666666666666666</v>
      </c>
      <c r="C31" s="20">
        <v>6.19</v>
      </c>
      <c r="D31" s="20">
        <v>78.900000000000006</v>
      </c>
      <c r="E31" s="20">
        <v>0.84</v>
      </c>
      <c r="F31" s="20">
        <v>0.15</v>
      </c>
      <c r="G31" s="20">
        <v>17.52</v>
      </c>
      <c r="H31" s="20">
        <v>13.96</v>
      </c>
      <c r="I31" s="20">
        <v>35.39</v>
      </c>
      <c r="J31" s="20">
        <v>938.57</v>
      </c>
      <c r="K31" s="32">
        <v>877616.29</v>
      </c>
      <c r="L31" s="1"/>
    </row>
    <row r="32" spans="1:12" x14ac:dyDescent="0.25">
      <c r="A32" s="58">
        <v>46055</v>
      </c>
      <c r="B32" s="18">
        <v>0.20833333333333334</v>
      </c>
      <c r="C32" s="20">
        <v>7.24</v>
      </c>
      <c r="D32" s="20">
        <v>78.62</v>
      </c>
      <c r="E32" s="20">
        <v>0.83</v>
      </c>
      <c r="F32" s="20">
        <v>0.15</v>
      </c>
      <c r="G32" s="20">
        <v>17.510000000000002</v>
      </c>
      <c r="H32" s="20">
        <v>13.97</v>
      </c>
      <c r="I32" s="20">
        <v>35.32</v>
      </c>
      <c r="J32" s="20">
        <v>937.56</v>
      </c>
      <c r="K32" s="32">
        <v>878246.52</v>
      </c>
      <c r="L32" s="1"/>
    </row>
    <row r="33" spans="1:12" x14ac:dyDescent="0.25">
      <c r="A33" s="58">
        <v>46055</v>
      </c>
      <c r="B33" s="18">
        <v>0.25</v>
      </c>
      <c r="C33" s="20">
        <v>6.76</v>
      </c>
      <c r="D33" s="20">
        <v>78.67</v>
      </c>
      <c r="E33" s="20">
        <v>0.78</v>
      </c>
      <c r="F33" s="20">
        <v>0.03</v>
      </c>
      <c r="G33" s="20">
        <v>17.52</v>
      </c>
      <c r="H33" s="20">
        <v>13.98</v>
      </c>
      <c r="I33" s="20">
        <v>35.33</v>
      </c>
      <c r="J33" s="20">
        <v>937.25</v>
      </c>
      <c r="K33" s="32">
        <v>874575.45</v>
      </c>
      <c r="L33" s="1"/>
    </row>
    <row r="34" spans="1:12" x14ac:dyDescent="0.25">
      <c r="A34" s="58">
        <v>46055</v>
      </c>
      <c r="B34" s="18">
        <v>0.29166666666666669</v>
      </c>
      <c r="C34" s="20">
        <v>7.43</v>
      </c>
      <c r="D34" s="20">
        <v>79.209999999999994</v>
      </c>
      <c r="E34" s="20">
        <v>0.76</v>
      </c>
      <c r="F34" s="20">
        <v>0.09</v>
      </c>
      <c r="G34" s="20">
        <v>17.510000000000002</v>
      </c>
      <c r="H34" s="20">
        <v>14</v>
      </c>
      <c r="I34" s="20">
        <v>35.76</v>
      </c>
      <c r="J34" s="20">
        <v>937.32</v>
      </c>
      <c r="K34" s="32">
        <v>875199</v>
      </c>
      <c r="L34" s="1"/>
    </row>
    <row r="35" spans="1:12" x14ac:dyDescent="0.25">
      <c r="A35" s="58">
        <v>46055</v>
      </c>
      <c r="B35" s="18">
        <v>0.33333333333333331</v>
      </c>
      <c r="C35" s="20">
        <v>6.65</v>
      </c>
      <c r="D35" s="20">
        <v>78.760000000000005</v>
      </c>
      <c r="E35" s="20">
        <v>0.65</v>
      </c>
      <c r="F35" s="20">
        <v>0.13</v>
      </c>
      <c r="G35" s="20">
        <v>17.489999999999998</v>
      </c>
      <c r="H35" s="20">
        <v>13.98</v>
      </c>
      <c r="I35" s="20">
        <v>35.520000000000003</v>
      </c>
      <c r="J35" s="20">
        <v>937.4</v>
      </c>
      <c r="K35" s="32">
        <v>871215.28</v>
      </c>
      <c r="L35" s="1"/>
    </row>
    <row r="36" spans="1:12" x14ac:dyDescent="0.25">
      <c r="A36" s="58">
        <v>46055</v>
      </c>
      <c r="B36" s="18">
        <v>0.375</v>
      </c>
      <c r="C36" s="20">
        <v>5.34</v>
      </c>
      <c r="D36" s="20">
        <v>78.209999999999994</v>
      </c>
      <c r="E36" s="20">
        <v>0.55000000000000004</v>
      </c>
      <c r="F36" s="20">
        <v>0.06</v>
      </c>
      <c r="G36" s="20">
        <v>17.47</v>
      </c>
      <c r="H36" s="20">
        <v>13.99</v>
      </c>
      <c r="I36" s="20">
        <v>35.71</v>
      </c>
      <c r="J36" s="20">
        <v>937.37</v>
      </c>
      <c r="K36" s="32">
        <v>864604.10000000009</v>
      </c>
      <c r="L36" s="1"/>
    </row>
    <row r="37" spans="1:12" x14ac:dyDescent="0.25">
      <c r="A37" s="58">
        <v>46055</v>
      </c>
      <c r="B37" s="18">
        <v>0.41666666666666669</v>
      </c>
      <c r="C37" s="20">
        <v>6.94</v>
      </c>
      <c r="D37" s="20">
        <v>79.19</v>
      </c>
      <c r="E37" s="20">
        <v>0.99</v>
      </c>
      <c r="F37" s="20">
        <v>0.05</v>
      </c>
      <c r="G37" s="20">
        <v>17.489999999999998</v>
      </c>
      <c r="H37" s="20">
        <v>14.04</v>
      </c>
      <c r="I37" s="20">
        <v>36.76</v>
      </c>
      <c r="J37" s="20">
        <v>937.22</v>
      </c>
      <c r="K37" s="32">
        <v>864340.3</v>
      </c>
      <c r="L37" s="1"/>
    </row>
    <row r="38" spans="1:12" x14ac:dyDescent="0.25">
      <c r="A38" s="58">
        <v>46055</v>
      </c>
      <c r="B38" s="18">
        <v>0.45833333333333331</v>
      </c>
      <c r="C38" s="20">
        <v>6.79</v>
      </c>
      <c r="D38" s="20">
        <v>78.83</v>
      </c>
      <c r="E38" s="20">
        <v>1.01</v>
      </c>
      <c r="F38" s="20">
        <v>0.05</v>
      </c>
      <c r="G38" s="20">
        <v>17.5</v>
      </c>
      <c r="H38" s="20">
        <v>14.12</v>
      </c>
      <c r="I38" s="20">
        <v>38.19</v>
      </c>
      <c r="J38" s="20">
        <v>936.47</v>
      </c>
      <c r="K38" s="32">
        <v>855590.05</v>
      </c>
      <c r="L38" s="1"/>
    </row>
    <row r="39" spans="1:12" x14ac:dyDescent="0.25">
      <c r="A39" s="58">
        <v>46055</v>
      </c>
      <c r="B39" s="18">
        <v>0.5</v>
      </c>
      <c r="C39" s="20">
        <v>7.31</v>
      </c>
      <c r="D39" s="20">
        <v>76.239999999999995</v>
      </c>
      <c r="E39" s="20">
        <v>0.87</v>
      </c>
      <c r="F39" s="20">
        <v>0.12</v>
      </c>
      <c r="G39" s="20">
        <v>17.47</v>
      </c>
      <c r="H39" s="20">
        <v>14.2</v>
      </c>
      <c r="I39" s="20">
        <v>39.61</v>
      </c>
      <c r="J39" s="20">
        <v>935.66</v>
      </c>
      <c r="K39" s="32">
        <v>825461.42999999993</v>
      </c>
      <c r="L39" s="1"/>
    </row>
    <row r="40" spans="1:12" x14ac:dyDescent="0.25">
      <c r="A40" s="58">
        <v>46055</v>
      </c>
      <c r="B40" s="18">
        <v>0.54166666666666663</v>
      </c>
      <c r="C40" s="20">
        <v>7.05</v>
      </c>
      <c r="D40" s="20">
        <v>73.459999999999994</v>
      </c>
      <c r="E40" s="20">
        <v>0.68</v>
      </c>
      <c r="F40" s="20">
        <v>0.1</v>
      </c>
      <c r="G40" s="20">
        <v>17.45</v>
      </c>
      <c r="H40" s="20">
        <v>14.26</v>
      </c>
      <c r="I40" s="20">
        <v>40.82</v>
      </c>
      <c r="J40" s="20">
        <v>935</v>
      </c>
      <c r="K40" s="32">
        <v>833201.40999999992</v>
      </c>
      <c r="L40" s="1"/>
    </row>
    <row r="41" spans="1:12" x14ac:dyDescent="0.25">
      <c r="A41" s="58">
        <v>46055</v>
      </c>
      <c r="B41" s="18">
        <v>0.58333333333333337</v>
      </c>
      <c r="C41" s="20">
        <v>8.18</v>
      </c>
      <c r="D41" s="20">
        <v>73.89</v>
      </c>
      <c r="E41" s="20">
        <v>0.66</v>
      </c>
      <c r="F41" s="20">
        <v>0.15</v>
      </c>
      <c r="G41" s="20">
        <v>17.510000000000002</v>
      </c>
      <c r="H41" s="20">
        <v>14.29</v>
      </c>
      <c r="I41" s="20">
        <v>41.34</v>
      </c>
      <c r="J41" s="20">
        <v>934.44</v>
      </c>
      <c r="K41" s="32">
        <v>842886.01</v>
      </c>
      <c r="L41" s="1"/>
    </row>
    <row r="42" spans="1:12" x14ac:dyDescent="0.25">
      <c r="A42" s="58">
        <v>46055</v>
      </c>
      <c r="B42" s="18">
        <v>0.625</v>
      </c>
      <c r="C42" s="20">
        <v>5.18</v>
      </c>
      <c r="D42" s="20">
        <v>73.62</v>
      </c>
      <c r="E42" s="20">
        <v>0.75</v>
      </c>
      <c r="F42" s="20">
        <v>0.09</v>
      </c>
      <c r="G42" s="20">
        <v>17.489999999999998</v>
      </c>
      <c r="H42" s="20">
        <v>14.3</v>
      </c>
      <c r="I42" s="20">
        <v>41.43</v>
      </c>
      <c r="J42" s="20">
        <v>934.19</v>
      </c>
      <c r="K42" s="32">
        <v>844981.8899999999</v>
      </c>
      <c r="L42" s="1"/>
    </row>
    <row r="43" spans="1:12" x14ac:dyDescent="0.25">
      <c r="A43" s="58">
        <v>46055</v>
      </c>
      <c r="B43" s="18">
        <v>0.66666666666666663</v>
      </c>
      <c r="C43" s="20">
        <v>6.04</v>
      </c>
      <c r="D43" s="20">
        <v>74.34</v>
      </c>
      <c r="E43" s="20">
        <v>0.93</v>
      </c>
      <c r="F43" s="20">
        <v>0.41</v>
      </c>
      <c r="G43" s="20">
        <v>17.48</v>
      </c>
      <c r="H43" s="20">
        <v>14.3</v>
      </c>
      <c r="I43" s="20">
        <v>41.36</v>
      </c>
      <c r="J43" s="20">
        <v>934.08</v>
      </c>
      <c r="K43" s="32">
        <v>846946.8899999999</v>
      </c>
      <c r="L43" s="1"/>
    </row>
    <row r="44" spans="1:12" x14ac:dyDescent="0.25">
      <c r="A44" s="58">
        <v>46055</v>
      </c>
      <c r="B44" s="18">
        <v>0.70833333333333337</v>
      </c>
      <c r="C44" s="20">
        <v>7.3</v>
      </c>
      <c r="D44" s="20">
        <v>73.56</v>
      </c>
      <c r="E44" s="20">
        <v>0.84</v>
      </c>
      <c r="F44" s="20">
        <v>1.29</v>
      </c>
      <c r="G44" s="20">
        <v>17.45</v>
      </c>
      <c r="H44" s="20">
        <v>14.31</v>
      </c>
      <c r="I44" s="20">
        <v>41.27</v>
      </c>
      <c r="J44" s="20">
        <v>933.03</v>
      </c>
      <c r="K44" s="32">
        <v>832177.46</v>
      </c>
      <c r="L44" s="1"/>
    </row>
    <row r="45" spans="1:12" x14ac:dyDescent="0.25">
      <c r="A45" s="58">
        <v>46055</v>
      </c>
      <c r="B45" s="18">
        <v>0.75</v>
      </c>
      <c r="C45" s="20">
        <v>6.52</v>
      </c>
      <c r="D45" s="20">
        <v>73.58</v>
      </c>
      <c r="E45" s="20">
        <v>0.87</v>
      </c>
      <c r="F45" s="20">
        <v>1.57</v>
      </c>
      <c r="G45" s="20">
        <v>17.47</v>
      </c>
      <c r="H45" s="20">
        <v>14.3</v>
      </c>
      <c r="I45" s="20">
        <v>40.92</v>
      </c>
      <c r="J45" s="20">
        <v>932.76</v>
      </c>
      <c r="K45" s="32">
        <v>835069.67999999993</v>
      </c>
      <c r="L45" s="1"/>
    </row>
    <row r="46" spans="1:12" x14ac:dyDescent="0.25">
      <c r="A46" s="58">
        <v>46055</v>
      </c>
      <c r="B46" s="18">
        <v>0.79166666666666663</v>
      </c>
      <c r="C46" s="20">
        <v>5.77</v>
      </c>
      <c r="D46" s="20">
        <v>73.260000000000005</v>
      </c>
      <c r="E46" s="20">
        <v>0.84</v>
      </c>
      <c r="F46" s="20">
        <v>0.69</v>
      </c>
      <c r="G46" s="20">
        <v>17.47</v>
      </c>
      <c r="H46" s="20">
        <v>14.3</v>
      </c>
      <c r="I46" s="20">
        <v>40.75</v>
      </c>
      <c r="J46" s="20">
        <v>932.3</v>
      </c>
      <c r="K46" s="32">
        <v>826895.62000000011</v>
      </c>
      <c r="L46" s="1"/>
    </row>
    <row r="47" spans="1:12" x14ac:dyDescent="0.25">
      <c r="A47" s="58">
        <v>46055</v>
      </c>
      <c r="B47" s="18">
        <v>0.83333333333333337</v>
      </c>
      <c r="C47" s="20">
        <v>5.15</v>
      </c>
      <c r="D47" s="20">
        <v>72.7</v>
      </c>
      <c r="E47" s="20">
        <v>0.98</v>
      </c>
      <c r="F47" s="20">
        <v>0.83</v>
      </c>
      <c r="G47" s="20">
        <v>17.47</v>
      </c>
      <c r="H47" s="20">
        <v>14.31</v>
      </c>
      <c r="I47" s="20">
        <v>40.81</v>
      </c>
      <c r="J47" s="20">
        <v>931.78</v>
      </c>
      <c r="K47" s="32">
        <v>836885.66999999993</v>
      </c>
      <c r="L47" s="1"/>
    </row>
    <row r="48" spans="1:12" x14ac:dyDescent="0.25">
      <c r="A48" s="58">
        <v>46055</v>
      </c>
      <c r="B48" s="18">
        <v>0.875</v>
      </c>
      <c r="C48" s="20">
        <v>5.43</v>
      </c>
      <c r="D48" s="20">
        <v>73.28</v>
      </c>
      <c r="E48" s="20">
        <v>1.17</v>
      </c>
      <c r="F48" s="20">
        <v>0.89</v>
      </c>
      <c r="G48" s="20">
        <v>17.47</v>
      </c>
      <c r="H48" s="20">
        <v>14.32</v>
      </c>
      <c r="I48" s="20">
        <v>40.770000000000003</v>
      </c>
      <c r="J48" s="20">
        <v>931.58</v>
      </c>
      <c r="K48" s="32">
        <v>839138.92999999993</v>
      </c>
      <c r="L48" s="1"/>
    </row>
    <row r="49" spans="1:12" x14ac:dyDescent="0.25">
      <c r="A49" s="58">
        <v>46055</v>
      </c>
      <c r="B49" s="18">
        <v>0.91666666666666663</v>
      </c>
      <c r="C49" s="20">
        <v>4.6100000000000003</v>
      </c>
      <c r="D49" s="20">
        <v>73.099999999999994</v>
      </c>
      <c r="E49" s="20">
        <v>0.97</v>
      </c>
      <c r="F49" s="20">
        <v>3.11</v>
      </c>
      <c r="G49" s="20">
        <v>17.48</v>
      </c>
      <c r="H49" s="20">
        <v>14.3</v>
      </c>
      <c r="I49" s="20">
        <v>40.340000000000003</v>
      </c>
      <c r="J49" s="20">
        <v>931.21</v>
      </c>
      <c r="K49" s="32">
        <v>852773.25</v>
      </c>
      <c r="L49" s="1"/>
    </row>
    <row r="50" spans="1:12" ht="15.75" thickBot="1" x14ac:dyDescent="0.3">
      <c r="A50" s="59">
        <v>46055</v>
      </c>
      <c r="B50" s="22">
        <v>0.95833333333333337</v>
      </c>
      <c r="C50" s="33">
        <v>4.6500000000000004</v>
      </c>
      <c r="D50" s="33">
        <v>72.38</v>
      </c>
      <c r="E50" s="33">
        <v>1</v>
      </c>
      <c r="F50" s="33">
        <v>2.0499999999999998</v>
      </c>
      <c r="G50" s="33">
        <v>17.45</v>
      </c>
      <c r="H50" s="33">
        <v>14.29</v>
      </c>
      <c r="I50" s="33">
        <v>39.93</v>
      </c>
      <c r="J50" s="33">
        <v>930.93</v>
      </c>
      <c r="K50" s="34">
        <v>844442.37999999989</v>
      </c>
      <c r="L50" s="1"/>
    </row>
    <row r="51" spans="1:12" ht="15.75" thickBot="1" x14ac:dyDescent="0.3">
      <c r="A51" s="26" t="s">
        <v>46</v>
      </c>
      <c r="B51" s="44"/>
      <c r="C51" s="45">
        <f t="shared" ref="C51:K51" si="1">IFERROR(ROUND(AVERAGE(C27:C50), 2), "")</f>
        <v>6.2</v>
      </c>
      <c r="D51" s="45">
        <f t="shared" si="1"/>
        <v>76.180000000000007</v>
      </c>
      <c r="E51" s="45">
        <f t="shared" si="1"/>
        <v>0.83</v>
      </c>
      <c r="F51" s="45">
        <f t="shared" si="1"/>
        <v>0.52</v>
      </c>
      <c r="G51" s="45">
        <f t="shared" si="1"/>
        <v>17.489999999999998</v>
      </c>
      <c r="H51" s="45">
        <f t="shared" si="1"/>
        <v>14.14</v>
      </c>
      <c r="I51" s="45">
        <f t="shared" si="1"/>
        <v>38.36</v>
      </c>
      <c r="J51" s="45">
        <f t="shared" si="1"/>
        <v>935.64</v>
      </c>
      <c r="K51" s="46">
        <f t="shared" si="1"/>
        <v>855193.13</v>
      </c>
      <c r="L51" s="7"/>
    </row>
    <row r="52" spans="1:12" x14ac:dyDescent="0.25">
      <c r="A52" s="57">
        <v>46056</v>
      </c>
      <c r="B52" s="14">
        <v>0</v>
      </c>
      <c r="C52" s="16">
        <v>5.83</v>
      </c>
      <c r="D52" s="16">
        <v>72.55</v>
      </c>
      <c r="E52" s="16">
        <v>1.03</v>
      </c>
      <c r="F52" s="16">
        <v>1.7</v>
      </c>
      <c r="G52" s="16">
        <v>17.41</v>
      </c>
      <c r="H52" s="16">
        <v>14.31</v>
      </c>
      <c r="I52" s="16">
        <v>40.119999999999997</v>
      </c>
      <c r="J52" s="16">
        <v>930.13</v>
      </c>
      <c r="K52" s="31">
        <v>835294.90999999992</v>
      </c>
      <c r="L52" s="2"/>
    </row>
    <row r="53" spans="1:12" x14ac:dyDescent="0.25">
      <c r="A53" s="58">
        <v>46056</v>
      </c>
      <c r="B53" s="18">
        <v>4.1666666666666664E-2</v>
      </c>
      <c r="C53" s="20">
        <v>5.96</v>
      </c>
      <c r="D53" s="20">
        <v>71.92</v>
      </c>
      <c r="E53" s="20">
        <v>1.05</v>
      </c>
      <c r="F53" s="20">
        <v>1.56</v>
      </c>
      <c r="G53" s="20">
        <v>17.399999999999999</v>
      </c>
      <c r="H53" s="20">
        <v>14.33</v>
      </c>
      <c r="I53" s="20">
        <v>40.340000000000003</v>
      </c>
      <c r="J53" s="20">
        <v>929.59</v>
      </c>
      <c r="K53" s="32">
        <v>840115.49</v>
      </c>
      <c r="L53" s="2"/>
    </row>
    <row r="54" spans="1:12" x14ac:dyDescent="0.25">
      <c r="A54" s="58">
        <v>46056</v>
      </c>
      <c r="B54" s="18">
        <v>8.3333333333333329E-2</v>
      </c>
      <c r="C54" s="20">
        <v>6.27</v>
      </c>
      <c r="D54" s="20">
        <v>72.2</v>
      </c>
      <c r="E54" s="20">
        <v>0.8</v>
      </c>
      <c r="F54" s="20">
        <v>0.83</v>
      </c>
      <c r="G54" s="20">
        <v>17.43</v>
      </c>
      <c r="H54" s="20">
        <v>14.35</v>
      </c>
      <c r="I54" s="20">
        <v>40.700000000000003</v>
      </c>
      <c r="J54" s="20">
        <v>929.14</v>
      </c>
      <c r="K54" s="32">
        <v>863205.25</v>
      </c>
      <c r="L54" s="2"/>
    </row>
    <row r="55" spans="1:12" x14ac:dyDescent="0.25">
      <c r="A55" s="58">
        <v>46056</v>
      </c>
      <c r="B55" s="18">
        <v>0.125</v>
      </c>
      <c r="C55" s="20">
        <v>5.69</v>
      </c>
      <c r="D55" s="20">
        <v>71.73</v>
      </c>
      <c r="E55" s="20">
        <v>0.97</v>
      </c>
      <c r="F55" s="20">
        <v>0.96</v>
      </c>
      <c r="G55" s="20">
        <v>17.399999999999999</v>
      </c>
      <c r="H55" s="20">
        <v>14.37</v>
      </c>
      <c r="I55" s="20">
        <v>41.07</v>
      </c>
      <c r="J55" s="20">
        <v>928.81</v>
      </c>
      <c r="K55" s="32">
        <v>868629.8600000001</v>
      </c>
      <c r="L55" s="2"/>
    </row>
    <row r="56" spans="1:12" x14ac:dyDescent="0.25">
      <c r="A56" s="58">
        <v>46056</v>
      </c>
      <c r="B56" s="18">
        <v>0.16666666666666666</v>
      </c>
      <c r="C56" s="20">
        <v>5.45</v>
      </c>
      <c r="D56" s="20">
        <v>71.540000000000006</v>
      </c>
      <c r="E56" s="20">
        <v>0.97</v>
      </c>
      <c r="F56" s="20">
        <v>0.56999999999999995</v>
      </c>
      <c r="G56" s="20">
        <v>17.41</v>
      </c>
      <c r="H56" s="20">
        <v>14.38</v>
      </c>
      <c r="I56" s="20">
        <v>40.99</v>
      </c>
      <c r="J56" s="20">
        <v>928.39</v>
      </c>
      <c r="K56" s="32">
        <v>852531.57000000007</v>
      </c>
      <c r="L56" s="2"/>
    </row>
    <row r="57" spans="1:12" x14ac:dyDescent="0.25">
      <c r="A57" s="58">
        <v>46056</v>
      </c>
      <c r="B57" s="18">
        <v>0.20833333333333334</v>
      </c>
      <c r="C57" s="20">
        <v>4.54</v>
      </c>
      <c r="D57" s="20">
        <v>71.010000000000005</v>
      </c>
      <c r="E57" s="20">
        <v>0.89</v>
      </c>
      <c r="F57" s="20">
        <v>0.37</v>
      </c>
      <c r="G57" s="20">
        <v>17.420000000000002</v>
      </c>
      <c r="H57" s="20">
        <v>14.39</v>
      </c>
      <c r="I57" s="20">
        <v>41.05</v>
      </c>
      <c r="J57" s="20">
        <v>927.93</v>
      </c>
      <c r="K57" s="32">
        <v>857920.6100000001</v>
      </c>
      <c r="L57" s="2"/>
    </row>
    <row r="58" spans="1:12" x14ac:dyDescent="0.25">
      <c r="A58" s="58">
        <v>46056</v>
      </c>
      <c r="B58" s="18">
        <v>0.25</v>
      </c>
      <c r="C58" s="20">
        <v>5.2</v>
      </c>
      <c r="D58" s="20">
        <v>70.430000000000007</v>
      </c>
      <c r="E58" s="20">
        <v>0.94</v>
      </c>
      <c r="F58" s="20">
        <v>1.31</v>
      </c>
      <c r="G58" s="20">
        <v>17.41</v>
      </c>
      <c r="H58" s="20">
        <v>14.36</v>
      </c>
      <c r="I58" s="20">
        <v>40.450000000000003</v>
      </c>
      <c r="J58" s="20">
        <v>927.48</v>
      </c>
      <c r="K58" s="32">
        <v>851959.83000000007</v>
      </c>
      <c r="L58" s="2"/>
    </row>
    <row r="59" spans="1:12" x14ac:dyDescent="0.25">
      <c r="A59" s="58">
        <v>46056</v>
      </c>
      <c r="B59" s="18">
        <v>0.29166666666666669</v>
      </c>
      <c r="C59" s="20">
        <v>5.84</v>
      </c>
      <c r="D59" s="20">
        <v>71.28</v>
      </c>
      <c r="E59" s="20">
        <v>0.91</v>
      </c>
      <c r="F59" s="20">
        <v>1.19</v>
      </c>
      <c r="G59" s="20">
        <v>17.399999999999999</v>
      </c>
      <c r="H59" s="20">
        <v>14.35</v>
      </c>
      <c r="I59" s="20">
        <v>40.04</v>
      </c>
      <c r="J59" s="20">
        <v>926.99</v>
      </c>
      <c r="K59" s="32">
        <v>857687.10000000009</v>
      </c>
      <c r="L59" s="2"/>
    </row>
    <row r="60" spans="1:12" x14ac:dyDescent="0.25">
      <c r="A60" s="58">
        <v>46056</v>
      </c>
      <c r="B60" s="18">
        <v>0.33333333333333331</v>
      </c>
      <c r="C60" s="20">
        <v>5.17</v>
      </c>
      <c r="D60" s="20">
        <v>71.95</v>
      </c>
      <c r="E60" s="20">
        <v>0.97</v>
      </c>
      <c r="F60" s="20">
        <v>0.75</v>
      </c>
      <c r="G60" s="20">
        <v>17.420000000000002</v>
      </c>
      <c r="H60" s="20">
        <v>14.35</v>
      </c>
      <c r="I60" s="20">
        <v>39.93</v>
      </c>
      <c r="J60" s="20">
        <v>926.96</v>
      </c>
      <c r="K60" s="32">
        <v>871927.06</v>
      </c>
      <c r="L60" s="2"/>
    </row>
    <row r="61" spans="1:12" x14ac:dyDescent="0.25">
      <c r="A61" s="58">
        <v>46056</v>
      </c>
      <c r="B61" s="18">
        <v>0.375</v>
      </c>
      <c r="C61" s="20">
        <v>6.33</v>
      </c>
      <c r="D61" s="20">
        <v>71.849999999999994</v>
      </c>
      <c r="E61" s="20">
        <v>1.06</v>
      </c>
      <c r="F61" s="20">
        <v>0.79</v>
      </c>
      <c r="G61" s="20">
        <v>17.46</v>
      </c>
      <c r="H61" s="20">
        <v>14.4</v>
      </c>
      <c r="I61" s="20">
        <v>40.909999999999997</v>
      </c>
      <c r="J61" s="20">
        <v>926.61</v>
      </c>
      <c r="K61" s="32">
        <v>908719.41999999993</v>
      </c>
      <c r="L61" s="2"/>
    </row>
    <row r="62" spans="1:12" x14ac:dyDescent="0.25">
      <c r="A62" s="58">
        <v>46056</v>
      </c>
      <c r="B62" s="18">
        <v>0.41666666666666669</v>
      </c>
      <c r="C62" s="20">
        <v>7.55</v>
      </c>
      <c r="D62" s="20">
        <v>70.69</v>
      </c>
      <c r="E62" s="20">
        <v>0.99</v>
      </c>
      <c r="F62" s="20">
        <v>1.34</v>
      </c>
      <c r="G62" s="20">
        <v>17.41</v>
      </c>
      <c r="H62" s="20">
        <v>14.47</v>
      </c>
      <c r="I62" s="20">
        <v>42.48</v>
      </c>
      <c r="J62" s="20">
        <v>926.67</v>
      </c>
      <c r="K62" s="32">
        <v>877448.97</v>
      </c>
      <c r="L62" s="2"/>
    </row>
    <row r="63" spans="1:12" x14ac:dyDescent="0.25">
      <c r="A63" s="58">
        <v>46056</v>
      </c>
      <c r="B63" s="18">
        <v>0.45833333333333331</v>
      </c>
      <c r="C63" s="20">
        <v>5.55</v>
      </c>
      <c r="D63" s="20">
        <v>69.81</v>
      </c>
      <c r="E63" s="20">
        <v>1.47</v>
      </c>
      <c r="F63" s="20">
        <v>0.86</v>
      </c>
      <c r="G63" s="20">
        <v>17.440000000000001</v>
      </c>
      <c r="H63" s="20">
        <v>14.48</v>
      </c>
      <c r="I63" s="20">
        <v>43.11</v>
      </c>
      <c r="J63" s="20">
        <v>927.62</v>
      </c>
      <c r="K63" s="32">
        <v>855622.98</v>
      </c>
      <c r="L63" s="2"/>
    </row>
    <row r="64" spans="1:12" x14ac:dyDescent="0.25">
      <c r="A64" s="58">
        <v>46056</v>
      </c>
      <c r="B64" s="18">
        <v>0.5</v>
      </c>
      <c r="C64" s="20">
        <v>5.76</v>
      </c>
      <c r="D64" s="20">
        <v>68.849999999999994</v>
      </c>
      <c r="E64" s="20">
        <v>1.28</v>
      </c>
      <c r="F64" s="20">
        <v>0.65</v>
      </c>
      <c r="G64" s="20">
        <v>17.420000000000002</v>
      </c>
      <c r="H64" s="20">
        <v>14.49</v>
      </c>
      <c r="I64" s="20">
        <v>43.37</v>
      </c>
      <c r="J64" s="20">
        <v>928.02</v>
      </c>
      <c r="K64" s="32">
        <v>840068.76</v>
      </c>
      <c r="L64" s="2"/>
    </row>
    <row r="65" spans="1:12" x14ac:dyDescent="0.25">
      <c r="A65" s="58">
        <v>46056</v>
      </c>
      <c r="B65" s="18">
        <v>0.54166666666666663</v>
      </c>
      <c r="C65" s="20">
        <v>6.4</v>
      </c>
      <c r="D65" s="20">
        <v>68.05</v>
      </c>
      <c r="E65" s="20">
        <v>1.19</v>
      </c>
      <c r="F65" s="20">
        <v>0.99</v>
      </c>
      <c r="G65" s="20">
        <v>17.43</v>
      </c>
      <c r="H65" s="20">
        <v>14.48</v>
      </c>
      <c r="I65" s="20">
        <v>43.27</v>
      </c>
      <c r="J65" s="20">
        <v>928.55</v>
      </c>
      <c r="K65" s="32">
        <v>845974</v>
      </c>
      <c r="L65" s="2"/>
    </row>
    <row r="66" spans="1:12" x14ac:dyDescent="0.25">
      <c r="A66" s="58">
        <v>46056</v>
      </c>
      <c r="B66" s="18">
        <v>0.58333333333333337</v>
      </c>
      <c r="C66" s="20">
        <v>7.22</v>
      </c>
      <c r="D66" s="20">
        <v>68.44</v>
      </c>
      <c r="E66" s="20">
        <v>1.29</v>
      </c>
      <c r="F66" s="20">
        <v>1.63</v>
      </c>
      <c r="G66" s="20">
        <v>17.45</v>
      </c>
      <c r="H66" s="20">
        <v>14.47</v>
      </c>
      <c r="I66" s="20">
        <v>43.18</v>
      </c>
      <c r="J66" s="20">
        <v>929.02</v>
      </c>
      <c r="K66" s="32">
        <v>873271.12000000011</v>
      </c>
      <c r="L66" s="2"/>
    </row>
    <row r="67" spans="1:12" x14ac:dyDescent="0.25">
      <c r="A67" s="58">
        <v>46056</v>
      </c>
      <c r="B67" s="18">
        <v>0.625</v>
      </c>
      <c r="C67" s="20">
        <v>6.48</v>
      </c>
      <c r="D67" s="20">
        <v>68.19</v>
      </c>
      <c r="E67" s="20">
        <v>1.21</v>
      </c>
      <c r="F67" s="20">
        <v>1.74</v>
      </c>
      <c r="G67" s="20">
        <v>17.45</v>
      </c>
      <c r="H67" s="20">
        <v>14.45</v>
      </c>
      <c r="I67" s="20">
        <v>43.17</v>
      </c>
      <c r="J67" s="20">
        <v>929.93</v>
      </c>
      <c r="K67" s="32">
        <v>890836.15999999992</v>
      </c>
      <c r="L67" s="2"/>
    </row>
    <row r="68" spans="1:12" x14ac:dyDescent="0.25">
      <c r="A68" s="58">
        <v>46056</v>
      </c>
      <c r="B68" s="18">
        <v>0.66666666666666663</v>
      </c>
      <c r="C68" s="20">
        <v>4.62</v>
      </c>
      <c r="D68" s="20">
        <v>67.680000000000007</v>
      </c>
      <c r="E68" s="20">
        <v>1.03</v>
      </c>
      <c r="F68" s="20">
        <v>1.94</v>
      </c>
      <c r="G68" s="20">
        <v>17.41</v>
      </c>
      <c r="H68" s="20">
        <v>14.45</v>
      </c>
      <c r="I68" s="20">
        <v>43.46</v>
      </c>
      <c r="J68" s="20">
        <v>930.72</v>
      </c>
      <c r="K68" s="32">
        <v>903983.3899999999</v>
      </c>
      <c r="L68" s="2"/>
    </row>
    <row r="69" spans="1:12" x14ac:dyDescent="0.25">
      <c r="A69" s="58">
        <v>46056</v>
      </c>
      <c r="B69" s="18">
        <v>0.70833333333333337</v>
      </c>
      <c r="C69" s="20">
        <v>4.46</v>
      </c>
      <c r="D69" s="20">
        <v>68.56</v>
      </c>
      <c r="E69" s="20">
        <v>1.32</v>
      </c>
      <c r="F69" s="20">
        <v>1.0900000000000001</v>
      </c>
      <c r="G69" s="20">
        <v>17.48</v>
      </c>
      <c r="H69" s="20">
        <v>14.39</v>
      </c>
      <c r="I69" s="20">
        <v>42.53</v>
      </c>
      <c r="J69" s="20">
        <v>932.28</v>
      </c>
      <c r="K69" s="32">
        <v>879781.72</v>
      </c>
      <c r="L69" s="2"/>
    </row>
    <row r="70" spans="1:12" x14ac:dyDescent="0.25">
      <c r="A70" s="58">
        <v>46056</v>
      </c>
      <c r="B70" s="18">
        <v>0.75</v>
      </c>
      <c r="C70" s="20">
        <v>5.05</v>
      </c>
      <c r="D70" s="20">
        <v>69.09</v>
      </c>
      <c r="E70" s="20">
        <v>1.61</v>
      </c>
      <c r="F70" s="20">
        <v>0.96</v>
      </c>
      <c r="G70" s="20">
        <v>17.52</v>
      </c>
      <c r="H70" s="20">
        <v>14.32</v>
      </c>
      <c r="I70" s="20">
        <v>41.62</v>
      </c>
      <c r="J70" s="20">
        <v>933.81</v>
      </c>
      <c r="K70" s="32">
        <v>881363.6399999999</v>
      </c>
      <c r="L70" s="2"/>
    </row>
    <row r="71" spans="1:12" x14ac:dyDescent="0.25">
      <c r="A71" s="58">
        <v>46056</v>
      </c>
      <c r="B71" s="18">
        <v>0.79166666666666663</v>
      </c>
      <c r="C71" s="20">
        <v>4.99</v>
      </c>
      <c r="D71" s="20">
        <v>69.83</v>
      </c>
      <c r="E71" s="20">
        <v>1.65</v>
      </c>
      <c r="F71" s="20">
        <v>0.89</v>
      </c>
      <c r="G71" s="20">
        <v>17.54</v>
      </c>
      <c r="H71" s="20">
        <v>14.28</v>
      </c>
      <c r="I71" s="20">
        <v>41.08</v>
      </c>
      <c r="J71" s="20">
        <v>934.85</v>
      </c>
      <c r="K71" s="32">
        <v>897215.23</v>
      </c>
      <c r="L71" s="2"/>
    </row>
    <row r="72" spans="1:12" x14ac:dyDescent="0.25">
      <c r="A72" s="58">
        <v>46056</v>
      </c>
      <c r="B72" s="18">
        <v>0.83333333333333337</v>
      </c>
      <c r="C72" s="20">
        <v>4.67</v>
      </c>
      <c r="D72" s="20">
        <v>70.73</v>
      </c>
      <c r="E72" s="20">
        <v>2.02</v>
      </c>
      <c r="F72" s="20">
        <v>0.51</v>
      </c>
      <c r="G72" s="20">
        <v>17.559999999999999</v>
      </c>
      <c r="H72" s="20">
        <v>14.25</v>
      </c>
      <c r="I72" s="20">
        <v>40.659999999999997</v>
      </c>
      <c r="J72" s="20">
        <v>935.55</v>
      </c>
      <c r="K72" s="32">
        <v>895546.75</v>
      </c>
      <c r="L72" s="2"/>
    </row>
    <row r="73" spans="1:12" x14ac:dyDescent="0.25">
      <c r="A73" s="58">
        <v>46056</v>
      </c>
      <c r="B73" s="18">
        <v>0.875</v>
      </c>
      <c r="C73" s="20">
        <v>4.05</v>
      </c>
      <c r="D73" s="20">
        <v>71.7</v>
      </c>
      <c r="E73" s="20">
        <v>2.84</v>
      </c>
      <c r="F73" s="20">
        <v>0.55000000000000004</v>
      </c>
      <c r="G73" s="20">
        <v>17.559999999999999</v>
      </c>
      <c r="H73" s="20">
        <v>14.22</v>
      </c>
      <c r="I73" s="20">
        <v>40.299999999999997</v>
      </c>
      <c r="J73" s="20">
        <v>936.16</v>
      </c>
      <c r="K73" s="32">
        <v>901113.42999999993</v>
      </c>
      <c r="L73" s="2"/>
    </row>
    <row r="74" spans="1:12" x14ac:dyDescent="0.25">
      <c r="A74" s="58">
        <v>46056</v>
      </c>
      <c r="B74" s="18">
        <v>0.91666666666666663</v>
      </c>
      <c r="C74" s="20">
        <v>4.55</v>
      </c>
      <c r="D74" s="20">
        <v>71.319999999999993</v>
      </c>
      <c r="E74" s="20">
        <v>2.59</v>
      </c>
      <c r="F74" s="20">
        <v>0.43</v>
      </c>
      <c r="G74" s="20">
        <v>17.57</v>
      </c>
      <c r="H74" s="20">
        <v>14.21</v>
      </c>
      <c r="I74" s="20">
        <v>40.130000000000003</v>
      </c>
      <c r="J74" s="20">
        <v>936.48</v>
      </c>
      <c r="K74" s="32">
        <v>895925.62999999989</v>
      </c>
      <c r="L74" s="2"/>
    </row>
    <row r="75" spans="1:12" ht="15.75" thickBot="1" x14ac:dyDescent="0.3">
      <c r="A75" s="60">
        <v>46056</v>
      </c>
      <c r="B75" s="35">
        <v>0.95833333333333337</v>
      </c>
      <c r="C75" s="24">
        <v>3.57</v>
      </c>
      <c r="D75" s="24">
        <v>71.16</v>
      </c>
      <c r="E75" s="24">
        <v>2.21</v>
      </c>
      <c r="F75" s="24">
        <v>0.4</v>
      </c>
      <c r="G75" s="24">
        <v>17.559999999999999</v>
      </c>
      <c r="H75" s="24">
        <v>14.21</v>
      </c>
      <c r="I75" s="24">
        <v>40.06</v>
      </c>
      <c r="J75" s="24">
        <v>936.73</v>
      </c>
      <c r="K75" s="36">
        <v>896183.57000000007</v>
      </c>
      <c r="L75" s="2"/>
    </row>
    <row r="76" spans="1:12" ht="15.75" thickBot="1" x14ac:dyDescent="0.3">
      <c r="A76" s="26" t="s">
        <v>47</v>
      </c>
      <c r="B76" s="44"/>
      <c r="C76" s="45">
        <f t="shared" ref="C76:K76" si="2">IFERROR(ROUND(AVERAGE(C52:C75), 2), "")</f>
        <v>5.47</v>
      </c>
      <c r="D76" s="45">
        <f t="shared" si="2"/>
        <v>70.44</v>
      </c>
      <c r="E76" s="45">
        <f t="shared" si="2"/>
        <v>1.35</v>
      </c>
      <c r="F76" s="45">
        <f t="shared" si="2"/>
        <v>1</v>
      </c>
      <c r="G76" s="45">
        <f t="shared" si="2"/>
        <v>17.46</v>
      </c>
      <c r="H76" s="45">
        <f t="shared" si="2"/>
        <v>14.37</v>
      </c>
      <c r="I76" s="45">
        <f t="shared" si="2"/>
        <v>41.42</v>
      </c>
      <c r="J76" s="45">
        <f t="shared" si="2"/>
        <v>930.35</v>
      </c>
      <c r="K76" s="46">
        <f t="shared" si="2"/>
        <v>872596.94</v>
      </c>
      <c r="L76" s="7"/>
    </row>
    <row r="77" spans="1:12" x14ac:dyDescent="0.25">
      <c r="A77" s="57">
        <v>46057</v>
      </c>
      <c r="B77" s="14">
        <v>0</v>
      </c>
      <c r="C77" s="16">
        <v>4.1900000000000004</v>
      </c>
      <c r="D77" s="16">
        <v>71.180000000000007</v>
      </c>
      <c r="E77" s="16">
        <v>1.45</v>
      </c>
      <c r="F77" s="16">
        <v>0.21</v>
      </c>
      <c r="G77" s="16">
        <v>17.55</v>
      </c>
      <c r="H77" s="16">
        <v>14.21</v>
      </c>
      <c r="I77" s="16">
        <v>39.950000000000003</v>
      </c>
      <c r="J77" s="16">
        <v>936.24</v>
      </c>
      <c r="K77" s="31">
        <v>886250.84000000008</v>
      </c>
      <c r="L77" s="2"/>
    </row>
    <row r="78" spans="1:12" x14ac:dyDescent="0.25">
      <c r="A78" s="58">
        <v>46057</v>
      </c>
      <c r="B78" s="18">
        <v>4.1666666666666664E-2</v>
      </c>
      <c r="C78" s="20">
        <v>2.95</v>
      </c>
      <c r="D78" s="20">
        <v>71.38</v>
      </c>
      <c r="E78" s="20">
        <v>1.24</v>
      </c>
      <c r="F78" s="20">
        <v>0.11</v>
      </c>
      <c r="G78" s="20">
        <v>17.559999999999999</v>
      </c>
      <c r="H78" s="20">
        <v>14.21</v>
      </c>
      <c r="I78" s="20">
        <v>39.950000000000003</v>
      </c>
      <c r="J78" s="20">
        <v>936.1</v>
      </c>
      <c r="K78" s="32">
        <v>892227.87000000011</v>
      </c>
      <c r="L78" s="2"/>
    </row>
    <row r="79" spans="1:12" x14ac:dyDescent="0.25">
      <c r="A79" s="58">
        <v>46057</v>
      </c>
      <c r="B79" s="18">
        <v>8.3333333333333329E-2</v>
      </c>
      <c r="C79" s="20">
        <v>4.13</v>
      </c>
      <c r="D79" s="20">
        <v>71.86</v>
      </c>
      <c r="E79" s="20">
        <v>1.63</v>
      </c>
      <c r="F79" s="20">
        <v>0.34</v>
      </c>
      <c r="G79" s="20">
        <v>17.54</v>
      </c>
      <c r="H79" s="20">
        <v>14.2</v>
      </c>
      <c r="I79" s="20">
        <v>39.76</v>
      </c>
      <c r="J79" s="20">
        <v>935.98</v>
      </c>
      <c r="K79" s="32">
        <v>866160.58000000007</v>
      </c>
      <c r="L79" s="2"/>
    </row>
    <row r="80" spans="1:12" x14ac:dyDescent="0.25">
      <c r="A80" s="58">
        <v>46057</v>
      </c>
      <c r="B80" s="18">
        <v>0.125</v>
      </c>
      <c r="C80" s="20">
        <v>3.65</v>
      </c>
      <c r="D80" s="20">
        <v>71.540000000000006</v>
      </c>
      <c r="E80" s="20">
        <v>2.4</v>
      </c>
      <c r="F80" s="20">
        <v>0.28999999999999998</v>
      </c>
      <c r="G80" s="20">
        <v>17.559999999999999</v>
      </c>
      <c r="H80" s="20">
        <v>14.2</v>
      </c>
      <c r="I80" s="20">
        <v>39.659999999999997</v>
      </c>
      <c r="J80" s="20">
        <v>935.77</v>
      </c>
      <c r="K80" s="32">
        <v>879132.97</v>
      </c>
      <c r="L80" s="2"/>
    </row>
    <row r="81" spans="1:12" x14ac:dyDescent="0.25">
      <c r="A81" s="58">
        <v>46057</v>
      </c>
      <c r="B81" s="18">
        <v>0.16666666666666666</v>
      </c>
      <c r="C81" s="20">
        <v>5.88</v>
      </c>
      <c r="D81" s="20">
        <v>71.88</v>
      </c>
      <c r="E81" s="20">
        <v>2.02</v>
      </c>
      <c r="F81" s="20">
        <v>0.23</v>
      </c>
      <c r="G81" s="20">
        <v>17.579999999999998</v>
      </c>
      <c r="H81" s="20">
        <v>14.2</v>
      </c>
      <c r="I81" s="20">
        <v>39.409999999999997</v>
      </c>
      <c r="J81" s="20">
        <v>935.29</v>
      </c>
      <c r="K81" s="32">
        <v>901506.35000000009</v>
      </c>
      <c r="L81" s="2"/>
    </row>
    <row r="82" spans="1:12" x14ac:dyDescent="0.25">
      <c r="A82" s="58">
        <v>46057</v>
      </c>
      <c r="B82" s="18">
        <v>0.20833333333333334</v>
      </c>
      <c r="C82" s="20">
        <v>5.43</v>
      </c>
      <c r="D82" s="20">
        <v>70.739999999999995</v>
      </c>
      <c r="E82" s="20">
        <v>1.81</v>
      </c>
      <c r="F82" s="20">
        <v>0.28000000000000003</v>
      </c>
      <c r="G82" s="20">
        <v>17.55</v>
      </c>
      <c r="H82" s="20">
        <v>14.21</v>
      </c>
      <c r="I82" s="20">
        <v>39.53</v>
      </c>
      <c r="J82" s="20">
        <v>934.79</v>
      </c>
      <c r="K82" s="32">
        <v>906898.35000000009</v>
      </c>
      <c r="L82" s="2"/>
    </row>
    <row r="83" spans="1:12" x14ac:dyDescent="0.25">
      <c r="A83" s="58">
        <v>46057</v>
      </c>
      <c r="B83" s="18">
        <v>0.25</v>
      </c>
      <c r="C83" s="20">
        <v>4.55</v>
      </c>
      <c r="D83" s="20">
        <v>68.489999999999995</v>
      </c>
      <c r="E83" s="20">
        <v>1.67</v>
      </c>
      <c r="F83" s="20">
        <v>1.76</v>
      </c>
      <c r="G83" s="20">
        <v>17.52</v>
      </c>
      <c r="H83" s="20">
        <v>14.23</v>
      </c>
      <c r="I83" s="20">
        <v>39.75</v>
      </c>
      <c r="J83" s="20">
        <v>933.89</v>
      </c>
      <c r="K83" s="32">
        <v>912645.44</v>
      </c>
      <c r="L83" s="2"/>
    </row>
    <row r="84" spans="1:12" x14ac:dyDescent="0.25">
      <c r="A84" s="58">
        <v>46057</v>
      </c>
      <c r="B84" s="18">
        <v>0.29166666666666669</v>
      </c>
      <c r="C84" s="20">
        <v>4.0199999999999996</v>
      </c>
      <c r="D84" s="20">
        <v>70.8</v>
      </c>
      <c r="E84" s="20">
        <v>2.48</v>
      </c>
      <c r="F84" s="20">
        <v>4.72</v>
      </c>
      <c r="G84" s="20">
        <v>17.440000000000001</v>
      </c>
      <c r="H84" s="20">
        <v>14.26</v>
      </c>
      <c r="I84" s="20">
        <v>40.15</v>
      </c>
      <c r="J84" s="20">
        <v>933.31</v>
      </c>
      <c r="K84" s="32">
        <v>945018.34000000008</v>
      </c>
      <c r="L84" s="2"/>
    </row>
    <row r="85" spans="1:12" x14ac:dyDescent="0.25">
      <c r="A85" s="58">
        <v>46057</v>
      </c>
      <c r="B85" s="18">
        <v>0.33333333333333331</v>
      </c>
      <c r="C85" s="20">
        <v>4.6900000000000004</v>
      </c>
      <c r="D85" s="20">
        <v>71.290000000000006</v>
      </c>
      <c r="E85" s="20">
        <v>2.25</v>
      </c>
      <c r="F85" s="20">
        <v>2.1</v>
      </c>
      <c r="G85" s="20">
        <v>17.440000000000001</v>
      </c>
      <c r="H85" s="20">
        <v>14.26</v>
      </c>
      <c r="I85" s="20">
        <v>39.93</v>
      </c>
      <c r="J85" s="20">
        <v>932.99</v>
      </c>
      <c r="K85" s="32">
        <v>953605.58000000007</v>
      </c>
      <c r="L85" s="2"/>
    </row>
    <row r="86" spans="1:12" x14ac:dyDescent="0.25">
      <c r="A86" s="58">
        <v>46057</v>
      </c>
      <c r="B86" s="18">
        <v>0.375</v>
      </c>
      <c r="C86" s="20">
        <v>5.19</v>
      </c>
      <c r="D86" s="20">
        <v>71.599999999999994</v>
      </c>
      <c r="E86" s="20">
        <v>1.52</v>
      </c>
      <c r="F86" s="20">
        <v>1.81</v>
      </c>
      <c r="G86" s="20">
        <v>17.43</v>
      </c>
      <c r="H86" s="20">
        <v>14.24</v>
      </c>
      <c r="I86" s="20">
        <v>39.729999999999997</v>
      </c>
      <c r="J86" s="20">
        <v>933.05</v>
      </c>
      <c r="K86" s="32">
        <v>944410.22</v>
      </c>
      <c r="L86" s="2"/>
    </row>
    <row r="87" spans="1:12" x14ac:dyDescent="0.25">
      <c r="A87" s="58">
        <v>46057</v>
      </c>
      <c r="B87" s="18">
        <v>0.41666666666666669</v>
      </c>
      <c r="C87" s="20">
        <v>4.43</v>
      </c>
      <c r="D87" s="20">
        <v>71.64</v>
      </c>
      <c r="E87" s="20">
        <v>1.71</v>
      </c>
      <c r="F87" s="20">
        <v>1.92</v>
      </c>
      <c r="G87" s="20">
        <v>17.440000000000001</v>
      </c>
      <c r="H87" s="20">
        <v>14.24</v>
      </c>
      <c r="I87" s="20">
        <v>39.630000000000003</v>
      </c>
      <c r="J87" s="20">
        <v>933.27</v>
      </c>
      <c r="K87" s="32">
        <v>944453.19</v>
      </c>
      <c r="L87" s="2"/>
    </row>
    <row r="88" spans="1:12" x14ac:dyDescent="0.25">
      <c r="A88" s="58">
        <v>46057</v>
      </c>
      <c r="B88" s="18">
        <v>0.45833333333333331</v>
      </c>
      <c r="C88" s="20">
        <v>4.59</v>
      </c>
      <c r="D88" s="20">
        <v>71.72</v>
      </c>
      <c r="E88" s="20">
        <v>2.17</v>
      </c>
      <c r="F88" s="20">
        <v>1.79</v>
      </c>
      <c r="G88" s="20">
        <v>17.46</v>
      </c>
      <c r="H88" s="20">
        <v>14.24</v>
      </c>
      <c r="I88" s="20">
        <v>39.58</v>
      </c>
      <c r="J88" s="20">
        <v>932.74</v>
      </c>
      <c r="K88" s="32">
        <v>927836.27</v>
      </c>
      <c r="L88" s="2"/>
    </row>
    <row r="89" spans="1:12" x14ac:dyDescent="0.25">
      <c r="A89" s="58">
        <v>46057</v>
      </c>
      <c r="B89" s="18">
        <v>0.5</v>
      </c>
      <c r="C89" s="20">
        <v>4.87</v>
      </c>
      <c r="D89" s="20">
        <v>70.760000000000005</v>
      </c>
      <c r="E89" s="20">
        <v>2.36</v>
      </c>
      <c r="F89" s="20">
        <v>2.59</v>
      </c>
      <c r="G89" s="20">
        <v>17.47</v>
      </c>
      <c r="H89" s="20">
        <v>14.25</v>
      </c>
      <c r="I89" s="20">
        <v>39.58</v>
      </c>
      <c r="J89" s="20">
        <v>932.47</v>
      </c>
      <c r="K89" s="32">
        <v>905937.69</v>
      </c>
      <c r="L89" s="2"/>
    </row>
    <row r="90" spans="1:12" x14ac:dyDescent="0.25">
      <c r="A90" s="58">
        <v>46057</v>
      </c>
      <c r="B90" s="18">
        <v>0.54166666666666663</v>
      </c>
      <c r="C90" s="20">
        <v>4.0599999999999996</v>
      </c>
      <c r="D90" s="20">
        <v>70.11</v>
      </c>
      <c r="E90" s="20">
        <v>2.15</v>
      </c>
      <c r="F90" s="20">
        <v>2.4500000000000002</v>
      </c>
      <c r="G90" s="20">
        <v>17.420000000000002</v>
      </c>
      <c r="H90" s="20">
        <v>14.26</v>
      </c>
      <c r="I90" s="20">
        <v>39.840000000000003</v>
      </c>
      <c r="J90" s="20">
        <v>932.66</v>
      </c>
      <c r="K90" s="32">
        <v>895551.17999999993</v>
      </c>
      <c r="L90" s="2"/>
    </row>
    <row r="91" spans="1:12" x14ac:dyDescent="0.25">
      <c r="A91" s="58">
        <v>46057</v>
      </c>
      <c r="B91" s="18">
        <v>0.58333333333333337</v>
      </c>
      <c r="C91" s="20">
        <v>4.8099999999999996</v>
      </c>
      <c r="D91" s="20">
        <v>70.28</v>
      </c>
      <c r="E91" s="20">
        <v>1.84</v>
      </c>
      <c r="F91" s="20">
        <v>2.5099999999999998</v>
      </c>
      <c r="G91" s="20">
        <v>17.420000000000002</v>
      </c>
      <c r="H91" s="20">
        <v>14.26</v>
      </c>
      <c r="I91" s="20">
        <v>39.9</v>
      </c>
      <c r="J91" s="20">
        <v>932.78</v>
      </c>
      <c r="K91" s="32">
        <v>895669.29</v>
      </c>
      <c r="L91" s="2"/>
    </row>
    <row r="92" spans="1:12" x14ac:dyDescent="0.25">
      <c r="A92" s="58">
        <v>46057</v>
      </c>
      <c r="B92" s="18">
        <v>0.625</v>
      </c>
      <c r="C92" s="20">
        <v>3.95</v>
      </c>
      <c r="D92" s="20">
        <v>70.47</v>
      </c>
      <c r="E92" s="20">
        <v>1.9</v>
      </c>
      <c r="F92" s="20">
        <v>2.89</v>
      </c>
      <c r="G92" s="20">
        <v>17.41</v>
      </c>
      <c r="H92" s="20">
        <v>14.25</v>
      </c>
      <c r="I92" s="20">
        <v>39.909999999999997</v>
      </c>
      <c r="J92" s="20">
        <v>933.41</v>
      </c>
      <c r="K92" s="32">
        <v>898862.73</v>
      </c>
      <c r="L92" s="2"/>
    </row>
    <row r="93" spans="1:12" x14ac:dyDescent="0.25">
      <c r="A93" s="58">
        <v>46057</v>
      </c>
      <c r="B93" s="18">
        <v>0.66666666666666663</v>
      </c>
      <c r="C93" s="20">
        <v>3.66</v>
      </c>
      <c r="D93" s="20">
        <v>69.069999999999993</v>
      </c>
      <c r="E93" s="20">
        <v>1.76</v>
      </c>
      <c r="F93" s="20">
        <v>3.52</v>
      </c>
      <c r="G93" s="20">
        <v>17.420000000000002</v>
      </c>
      <c r="H93" s="20">
        <v>14.25</v>
      </c>
      <c r="I93" s="20">
        <v>39.979999999999997</v>
      </c>
      <c r="J93" s="20">
        <v>933.72</v>
      </c>
      <c r="K93" s="32">
        <v>890062.56</v>
      </c>
      <c r="L93" s="2"/>
    </row>
    <row r="94" spans="1:12" x14ac:dyDescent="0.25">
      <c r="A94" s="58">
        <v>46057</v>
      </c>
      <c r="B94" s="18">
        <v>0.70833333333333337</v>
      </c>
      <c r="C94" s="20">
        <v>4.6100000000000003</v>
      </c>
      <c r="D94" s="20">
        <v>69.56</v>
      </c>
      <c r="E94" s="20">
        <v>2.21</v>
      </c>
      <c r="F94" s="20">
        <v>3.7</v>
      </c>
      <c r="G94" s="20">
        <v>17.45</v>
      </c>
      <c r="H94" s="20">
        <v>14.23</v>
      </c>
      <c r="I94" s="20">
        <v>39.81</v>
      </c>
      <c r="J94" s="20">
        <v>934.41</v>
      </c>
      <c r="K94" s="32">
        <v>904862.8600000001</v>
      </c>
      <c r="L94" s="2"/>
    </row>
    <row r="95" spans="1:12" x14ac:dyDescent="0.25">
      <c r="A95" s="58">
        <v>46057</v>
      </c>
      <c r="B95" s="18">
        <v>0.75</v>
      </c>
      <c r="C95" s="20">
        <v>4.6399999999999997</v>
      </c>
      <c r="D95" s="20">
        <v>69.48</v>
      </c>
      <c r="E95" s="20">
        <v>2.09</v>
      </c>
      <c r="F95" s="20">
        <v>3.09</v>
      </c>
      <c r="G95" s="20">
        <v>17.46</v>
      </c>
      <c r="H95" s="20">
        <v>14.21</v>
      </c>
      <c r="I95" s="20">
        <v>39.83</v>
      </c>
      <c r="J95" s="20">
        <v>935.92</v>
      </c>
      <c r="K95" s="32">
        <v>919478.8</v>
      </c>
      <c r="L95" s="2"/>
    </row>
    <row r="96" spans="1:12" x14ac:dyDescent="0.25">
      <c r="A96" s="58">
        <v>46057</v>
      </c>
      <c r="B96" s="18">
        <v>0.79166666666666663</v>
      </c>
      <c r="C96" s="20">
        <v>3.57</v>
      </c>
      <c r="D96" s="20">
        <v>71.27</v>
      </c>
      <c r="E96" s="20">
        <v>1.81</v>
      </c>
      <c r="F96" s="20">
        <v>1.98</v>
      </c>
      <c r="G96" s="20">
        <v>17.46</v>
      </c>
      <c r="H96" s="20">
        <v>14.2</v>
      </c>
      <c r="I96" s="20">
        <v>39.79</v>
      </c>
      <c r="J96" s="20">
        <v>936.5</v>
      </c>
      <c r="K96" s="32">
        <v>906885</v>
      </c>
      <c r="L96" s="2"/>
    </row>
    <row r="97" spans="1:12" x14ac:dyDescent="0.25">
      <c r="A97" s="58">
        <v>46057</v>
      </c>
      <c r="B97" s="18">
        <v>0.83333333333333337</v>
      </c>
      <c r="C97" s="20">
        <v>4.24</v>
      </c>
      <c r="D97" s="20">
        <v>72.52</v>
      </c>
      <c r="E97" s="20">
        <v>2.31</v>
      </c>
      <c r="F97" s="20">
        <v>1.19</v>
      </c>
      <c r="G97" s="20">
        <v>17.48</v>
      </c>
      <c r="H97" s="20">
        <v>14.19</v>
      </c>
      <c r="I97" s="20">
        <v>40.03</v>
      </c>
      <c r="J97" s="20">
        <v>937.62</v>
      </c>
      <c r="K97" s="32">
        <v>918478.17999999993</v>
      </c>
      <c r="L97" s="2"/>
    </row>
    <row r="98" spans="1:12" x14ac:dyDescent="0.25">
      <c r="A98" s="58">
        <v>46057</v>
      </c>
      <c r="B98" s="18">
        <v>0.875</v>
      </c>
      <c r="C98" s="20">
        <v>4.2699999999999996</v>
      </c>
      <c r="D98" s="20">
        <v>71.900000000000006</v>
      </c>
      <c r="E98" s="20">
        <v>2.39</v>
      </c>
      <c r="F98" s="20">
        <v>1.1299999999999999</v>
      </c>
      <c r="G98" s="20">
        <v>17.47</v>
      </c>
      <c r="H98" s="20">
        <v>14.17</v>
      </c>
      <c r="I98" s="20">
        <v>39.96</v>
      </c>
      <c r="J98" s="20">
        <v>938.78</v>
      </c>
      <c r="K98" s="32">
        <v>913286.95</v>
      </c>
      <c r="L98" s="2"/>
    </row>
    <row r="99" spans="1:12" x14ac:dyDescent="0.25">
      <c r="A99" s="58">
        <v>46057</v>
      </c>
      <c r="B99" s="18">
        <v>0.91666666666666663</v>
      </c>
      <c r="C99" s="20">
        <v>3.13</v>
      </c>
      <c r="D99" s="20">
        <v>72.66</v>
      </c>
      <c r="E99" s="20">
        <v>1.9</v>
      </c>
      <c r="F99" s="20">
        <v>1.0900000000000001</v>
      </c>
      <c r="G99" s="20">
        <v>17.48</v>
      </c>
      <c r="H99" s="20">
        <v>14.16</v>
      </c>
      <c r="I99" s="20">
        <v>39.85</v>
      </c>
      <c r="J99" s="20">
        <v>939.35</v>
      </c>
      <c r="K99" s="32">
        <v>918741.10000000009</v>
      </c>
      <c r="L99" s="2"/>
    </row>
    <row r="100" spans="1:12" ht="15.75" thickBot="1" x14ac:dyDescent="0.3">
      <c r="A100" s="59">
        <v>46057</v>
      </c>
      <c r="B100" s="22">
        <v>0.95833333333333337</v>
      </c>
      <c r="C100" s="33">
        <v>2.87</v>
      </c>
      <c r="D100" s="33">
        <v>72.959999999999994</v>
      </c>
      <c r="E100" s="33">
        <v>1.97</v>
      </c>
      <c r="F100" s="33">
        <v>0.77</v>
      </c>
      <c r="G100" s="33">
        <v>17.489999999999998</v>
      </c>
      <c r="H100" s="33">
        <v>14.15</v>
      </c>
      <c r="I100" s="33">
        <v>39.86</v>
      </c>
      <c r="J100" s="33">
        <v>939.71</v>
      </c>
      <c r="K100" s="34">
        <v>923000.27</v>
      </c>
      <c r="L100" s="2"/>
    </row>
    <row r="101" spans="1:12" ht="15.75" thickBot="1" x14ac:dyDescent="0.3">
      <c r="A101" s="26" t="s">
        <v>48</v>
      </c>
      <c r="B101" s="44"/>
      <c r="C101" s="45">
        <f t="shared" ref="C101:K101" si="3">IFERROR(ROUND(AVERAGE(C77:C100), 2), "")</f>
        <v>4.2699999999999996</v>
      </c>
      <c r="D101" s="45">
        <f t="shared" si="3"/>
        <v>71.05</v>
      </c>
      <c r="E101" s="45">
        <f t="shared" si="3"/>
        <v>1.96</v>
      </c>
      <c r="F101" s="45">
        <f t="shared" si="3"/>
        <v>1.77</v>
      </c>
      <c r="G101" s="45">
        <f t="shared" si="3"/>
        <v>17.48</v>
      </c>
      <c r="H101" s="45">
        <f t="shared" si="3"/>
        <v>14.22</v>
      </c>
      <c r="I101" s="45">
        <f t="shared" si="3"/>
        <v>39.81</v>
      </c>
      <c r="J101" s="45">
        <f t="shared" si="3"/>
        <v>935.03</v>
      </c>
      <c r="K101" s="46">
        <f t="shared" si="3"/>
        <v>910456.78</v>
      </c>
      <c r="L101" s="7"/>
    </row>
    <row r="102" spans="1:12" x14ac:dyDescent="0.25">
      <c r="A102" s="57">
        <v>46058</v>
      </c>
      <c r="B102" s="14">
        <v>0</v>
      </c>
      <c r="C102" s="16">
        <v>2.21</v>
      </c>
      <c r="D102" s="16">
        <v>73.709999999999994</v>
      </c>
      <c r="E102" s="16">
        <v>2.1800000000000002</v>
      </c>
      <c r="F102" s="16">
        <v>0.62</v>
      </c>
      <c r="G102" s="16">
        <v>17.489999999999998</v>
      </c>
      <c r="H102" s="16">
        <v>14.14</v>
      </c>
      <c r="I102" s="16">
        <v>39.799999999999997</v>
      </c>
      <c r="J102" s="16">
        <v>940.51</v>
      </c>
      <c r="K102" s="31">
        <v>914960.94</v>
      </c>
      <c r="L102" s="2"/>
    </row>
    <row r="103" spans="1:12" x14ac:dyDescent="0.25">
      <c r="A103" s="58">
        <v>46058</v>
      </c>
      <c r="B103" s="18">
        <v>4.1666666666666664E-2</v>
      </c>
      <c r="C103" s="20">
        <v>3.55</v>
      </c>
      <c r="D103" s="20">
        <v>72.739999999999995</v>
      </c>
      <c r="E103" s="20">
        <v>2.93</v>
      </c>
      <c r="F103" s="20">
        <v>0.75</v>
      </c>
      <c r="G103" s="20">
        <v>17.5</v>
      </c>
      <c r="H103" s="20">
        <v>14.14</v>
      </c>
      <c r="I103" s="20">
        <v>39.81</v>
      </c>
      <c r="J103" s="20">
        <v>940.36</v>
      </c>
      <c r="K103" s="32">
        <v>917818.65999999992</v>
      </c>
      <c r="L103" s="2"/>
    </row>
    <row r="104" spans="1:12" x14ac:dyDescent="0.25">
      <c r="A104" s="58">
        <v>46058</v>
      </c>
      <c r="B104" s="18">
        <v>8.3333333333333329E-2</v>
      </c>
      <c r="C104" s="20">
        <v>3.82</v>
      </c>
      <c r="D104" s="20">
        <v>72.94</v>
      </c>
      <c r="E104" s="20">
        <v>2.2000000000000002</v>
      </c>
      <c r="F104" s="20">
        <v>1.1299999999999999</v>
      </c>
      <c r="G104" s="20">
        <v>17.510000000000002</v>
      </c>
      <c r="H104" s="20">
        <v>14.15</v>
      </c>
      <c r="I104" s="20">
        <v>40.29</v>
      </c>
      <c r="J104" s="20">
        <v>940.87</v>
      </c>
      <c r="K104" s="32">
        <v>959221.22</v>
      </c>
      <c r="L104" s="2"/>
    </row>
    <row r="105" spans="1:12" x14ac:dyDescent="0.25">
      <c r="A105" s="58">
        <v>46058</v>
      </c>
      <c r="B105" s="18">
        <v>0.125</v>
      </c>
      <c r="C105" s="20">
        <v>4.57</v>
      </c>
      <c r="D105" s="20">
        <v>74.680000000000007</v>
      </c>
      <c r="E105" s="20">
        <v>1.82</v>
      </c>
      <c r="F105" s="20">
        <v>0.56999999999999995</v>
      </c>
      <c r="G105" s="20">
        <v>17.489999999999998</v>
      </c>
      <c r="H105" s="20">
        <v>14.14</v>
      </c>
      <c r="I105" s="20">
        <v>40.21</v>
      </c>
      <c r="J105" s="20">
        <v>941.21</v>
      </c>
      <c r="K105" s="32">
        <v>976232.3</v>
      </c>
      <c r="L105" s="2"/>
    </row>
    <row r="106" spans="1:12" x14ac:dyDescent="0.25">
      <c r="A106" s="58">
        <v>46058</v>
      </c>
      <c r="B106" s="18">
        <v>0.16666666666666666</v>
      </c>
      <c r="C106" s="20">
        <v>6.32</v>
      </c>
      <c r="D106" s="20">
        <v>75.67</v>
      </c>
      <c r="E106" s="20">
        <v>1.23</v>
      </c>
      <c r="F106" s="20">
        <v>0.68</v>
      </c>
      <c r="G106" s="20">
        <v>17.5</v>
      </c>
      <c r="H106" s="20">
        <v>14.12</v>
      </c>
      <c r="I106" s="20">
        <v>39.700000000000003</v>
      </c>
      <c r="J106" s="20">
        <v>941.28</v>
      </c>
      <c r="K106" s="32">
        <v>986285.32000000007</v>
      </c>
      <c r="L106" s="2"/>
    </row>
    <row r="107" spans="1:12" x14ac:dyDescent="0.25">
      <c r="A107" s="58">
        <v>46058</v>
      </c>
      <c r="B107" s="18">
        <v>0.20833333333333334</v>
      </c>
      <c r="C107" s="20">
        <v>5.73</v>
      </c>
      <c r="D107" s="20">
        <v>76.59</v>
      </c>
      <c r="E107" s="20">
        <v>1.18</v>
      </c>
      <c r="F107" s="20">
        <v>0.43</v>
      </c>
      <c r="G107" s="20">
        <v>17.48</v>
      </c>
      <c r="H107" s="20">
        <v>14.11</v>
      </c>
      <c r="I107" s="20">
        <v>39.32</v>
      </c>
      <c r="J107" s="20">
        <v>940.69</v>
      </c>
      <c r="K107" s="32">
        <v>1024810.8999999999</v>
      </c>
      <c r="L107" s="3"/>
    </row>
    <row r="108" spans="1:12" x14ac:dyDescent="0.25">
      <c r="A108" s="58">
        <v>46058</v>
      </c>
      <c r="B108" s="18">
        <v>0.25</v>
      </c>
      <c r="C108" s="20">
        <v>3.88</v>
      </c>
      <c r="D108" s="20">
        <v>70.41</v>
      </c>
      <c r="E108" s="20">
        <v>1.1299999999999999</v>
      </c>
      <c r="F108" s="20">
        <v>0.52</v>
      </c>
      <c r="G108" s="20">
        <v>17.489999999999998</v>
      </c>
      <c r="H108" s="20">
        <v>14.09</v>
      </c>
      <c r="I108" s="20">
        <v>38.89</v>
      </c>
      <c r="J108" s="20">
        <v>941.15</v>
      </c>
      <c r="K108" s="32">
        <v>1020381.6000000001</v>
      </c>
      <c r="L108" s="2"/>
    </row>
    <row r="109" spans="1:12" x14ac:dyDescent="0.25">
      <c r="A109" s="58">
        <v>46058</v>
      </c>
      <c r="B109" s="18">
        <v>0.29166666666666669</v>
      </c>
      <c r="C109" s="20">
        <v>3.2</v>
      </c>
      <c r="D109" s="20">
        <v>69.599999999999994</v>
      </c>
      <c r="E109" s="20">
        <v>1.06</v>
      </c>
      <c r="F109" s="20">
        <v>1.0900000000000001</v>
      </c>
      <c r="G109" s="20">
        <v>17.47</v>
      </c>
      <c r="H109" s="20">
        <v>14.07</v>
      </c>
      <c r="I109" s="20">
        <v>38.799999999999997</v>
      </c>
      <c r="J109" s="20">
        <v>941.56</v>
      </c>
      <c r="K109" s="32">
        <v>1006592.3700000001</v>
      </c>
      <c r="L109" s="2"/>
    </row>
    <row r="110" spans="1:12" x14ac:dyDescent="0.25">
      <c r="A110" s="58">
        <v>46058</v>
      </c>
      <c r="B110" s="18">
        <v>0.33333333333333331</v>
      </c>
      <c r="C110" s="20">
        <v>3.93</v>
      </c>
      <c r="D110" s="20">
        <v>72.83</v>
      </c>
      <c r="E110" s="20">
        <v>1.39</v>
      </c>
      <c r="F110" s="20">
        <v>1.1499999999999999</v>
      </c>
      <c r="G110" s="20">
        <v>17.489999999999998</v>
      </c>
      <c r="H110" s="20">
        <v>14.07</v>
      </c>
      <c r="I110" s="20">
        <v>38.619999999999997</v>
      </c>
      <c r="J110" s="20">
        <v>941.5</v>
      </c>
      <c r="K110" s="32">
        <v>1017729.5</v>
      </c>
      <c r="L110" s="2"/>
    </row>
    <row r="111" spans="1:12" x14ac:dyDescent="0.25">
      <c r="A111" s="58">
        <v>46058</v>
      </c>
      <c r="B111" s="18">
        <v>0.375</v>
      </c>
      <c r="C111" s="20">
        <v>6.12</v>
      </c>
      <c r="D111" s="20">
        <v>73.430000000000007</v>
      </c>
      <c r="E111" s="20">
        <v>1.36</v>
      </c>
      <c r="F111" s="20">
        <v>1.46</v>
      </c>
      <c r="G111" s="20">
        <v>17.489999999999998</v>
      </c>
      <c r="H111" s="20">
        <v>14.06</v>
      </c>
      <c r="I111" s="20">
        <v>38.5</v>
      </c>
      <c r="J111" s="20">
        <v>941.79</v>
      </c>
      <c r="K111" s="32">
        <v>1006064.01</v>
      </c>
      <c r="L111" s="2"/>
    </row>
    <row r="112" spans="1:12" x14ac:dyDescent="0.25">
      <c r="A112" s="58">
        <v>46058</v>
      </c>
      <c r="B112" s="18">
        <v>0.41666666666666669</v>
      </c>
      <c r="C112" s="20">
        <v>3.83</v>
      </c>
      <c r="D112" s="20">
        <v>73.489999999999995</v>
      </c>
      <c r="E112" s="20">
        <v>1.58</v>
      </c>
      <c r="F112" s="20">
        <v>0.75</v>
      </c>
      <c r="G112" s="20">
        <v>17.5</v>
      </c>
      <c r="H112" s="20">
        <v>14.05</v>
      </c>
      <c r="I112" s="20">
        <v>38.44</v>
      </c>
      <c r="J112" s="20">
        <v>941.82</v>
      </c>
      <c r="K112" s="32">
        <v>1026461.3700000001</v>
      </c>
      <c r="L112" s="2"/>
    </row>
    <row r="113" spans="1:12" x14ac:dyDescent="0.25">
      <c r="A113" s="58">
        <v>46058</v>
      </c>
      <c r="B113" s="18">
        <v>0.45833333333333331</v>
      </c>
      <c r="C113" s="20">
        <v>3.48</v>
      </c>
      <c r="D113" s="20">
        <v>70.42</v>
      </c>
      <c r="E113" s="20">
        <v>1.68</v>
      </c>
      <c r="F113" s="20">
        <v>1.33</v>
      </c>
      <c r="G113" s="20">
        <v>17.5</v>
      </c>
      <c r="H113" s="20">
        <v>14.05</v>
      </c>
      <c r="I113" s="20">
        <v>38.340000000000003</v>
      </c>
      <c r="J113" s="20">
        <v>941.75</v>
      </c>
      <c r="K113" s="32">
        <v>994806.69</v>
      </c>
      <c r="L113" s="2"/>
    </row>
    <row r="114" spans="1:12" x14ac:dyDescent="0.25">
      <c r="A114" s="58">
        <v>46058</v>
      </c>
      <c r="B114" s="18">
        <v>0.5</v>
      </c>
      <c r="C114" s="20">
        <v>2.65</v>
      </c>
      <c r="D114" s="20">
        <v>70.540000000000006</v>
      </c>
      <c r="E114" s="20">
        <v>1.81</v>
      </c>
      <c r="F114" s="20">
        <v>1.44</v>
      </c>
      <c r="G114" s="20">
        <v>17.47</v>
      </c>
      <c r="H114" s="20">
        <v>14.06</v>
      </c>
      <c r="I114" s="20">
        <v>38.39</v>
      </c>
      <c r="J114" s="20">
        <v>940.97</v>
      </c>
      <c r="K114" s="32">
        <v>986927.31</v>
      </c>
      <c r="L114" s="2"/>
    </row>
    <row r="115" spans="1:12" x14ac:dyDescent="0.25">
      <c r="A115" s="58">
        <v>46058</v>
      </c>
      <c r="B115" s="18">
        <v>0.54166666666666663</v>
      </c>
      <c r="C115" s="20">
        <v>3.24</v>
      </c>
      <c r="D115" s="20">
        <v>68.209999999999994</v>
      </c>
      <c r="E115" s="20">
        <v>1.73</v>
      </c>
      <c r="F115" s="20">
        <v>3.87</v>
      </c>
      <c r="G115" s="20">
        <v>17.48</v>
      </c>
      <c r="H115" s="20">
        <v>14.06</v>
      </c>
      <c r="I115" s="20">
        <v>38.229999999999997</v>
      </c>
      <c r="J115" s="20">
        <v>940.49</v>
      </c>
      <c r="K115" s="32">
        <v>977977.26</v>
      </c>
      <c r="L115" s="2"/>
    </row>
    <row r="116" spans="1:12" x14ac:dyDescent="0.25">
      <c r="A116" s="58">
        <v>46058</v>
      </c>
      <c r="B116" s="18">
        <v>0.58333333333333337</v>
      </c>
      <c r="C116" s="20">
        <v>5.22</v>
      </c>
      <c r="D116" s="20">
        <v>69.84</v>
      </c>
      <c r="E116" s="20">
        <v>1.96</v>
      </c>
      <c r="F116" s="20">
        <v>1.5</v>
      </c>
      <c r="G116" s="20">
        <v>17.47</v>
      </c>
      <c r="H116" s="20">
        <v>14.08</v>
      </c>
      <c r="I116" s="20">
        <v>38.32</v>
      </c>
      <c r="J116" s="20">
        <v>939.85</v>
      </c>
      <c r="K116" s="32">
        <v>995288.04</v>
      </c>
      <c r="L116" s="2"/>
    </row>
    <row r="117" spans="1:12" x14ac:dyDescent="0.25">
      <c r="A117" s="58">
        <v>46058</v>
      </c>
      <c r="B117" s="18">
        <v>0.625</v>
      </c>
      <c r="C117" s="20">
        <v>4.53</v>
      </c>
      <c r="D117" s="20">
        <v>68.900000000000006</v>
      </c>
      <c r="E117" s="20">
        <v>2.62</v>
      </c>
      <c r="F117" s="20">
        <v>1.69</v>
      </c>
      <c r="G117" s="20">
        <v>17.489999999999998</v>
      </c>
      <c r="H117" s="20">
        <v>14.07</v>
      </c>
      <c r="I117" s="20">
        <v>38.19</v>
      </c>
      <c r="J117" s="20">
        <v>939.93</v>
      </c>
      <c r="K117" s="32">
        <v>979256.64999999991</v>
      </c>
      <c r="L117" s="2"/>
    </row>
    <row r="118" spans="1:12" x14ac:dyDescent="0.25">
      <c r="A118" s="58">
        <v>46058</v>
      </c>
      <c r="B118" s="18">
        <v>0.66666666666666663</v>
      </c>
      <c r="C118" s="20">
        <v>3.48</v>
      </c>
      <c r="D118" s="20">
        <v>69.14</v>
      </c>
      <c r="E118" s="20">
        <v>1.96</v>
      </c>
      <c r="F118" s="20">
        <v>1.29</v>
      </c>
      <c r="G118" s="20">
        <v>17.48</v>
      </c>
      <c r="H118" s="20">
        <v>14.07</v>
      </c>
      <c r="I118" s="20">
        <v>38.11</v>
      </c>
      <c r="J118" s="20">
        <v>939.72</v>
      </c>
      <c r="K118" s="32">
        <v>980429.33000000007</v>
      </c>
      <c r="L118" s="2"/>
    </row>
    <row r="119" spans="1:12" x14ac:dyDescent="0.25">
      <c r="A119" s="58">
        <v>46058</v>
      </c>
      <c r="B119" s="18">
        <v>0.70833333333333337</v>
      </c>
      <c r="C119" s="20">
        <v>5</v>
      </c>
      <c r="D119" s="20">
        <v>68.989999999999995</v>
      </c>
      <c r="E119" s="20">
        <v>2.17</v>
      </c>
      <c r="F119" s="20">
        <v>1.78</v>
      </c>
      <c r="G119" s="20">
        <v>17.489999999999998</v>
      </c>
      <c r="H119" s="20">
        <v>14.07</v>
      </c>
      <c r="I119" s="20">
        <v>38.07</v>
      </c>
      <c r="J119" s="20">
        <v>939.51</v>
      </c>
      <c r="K119" s="32">
        <v>961786.51</v>
      </c>
      <c r="L119" s="2"/>
    </row>
    <row r="120" spans="1:12" x14ac:dyDescent="0.25">
      <c r="A120" s="58">
        <v>46058</v>
      </c>
      <c r="B120" s="18">
        <v>0.75</v>
      </c>
      <c r="C120" s="20">
        <v>4.84</v>
      </c>
      <c r="D120" s="20">
        <v>70.31</v>
      </c>
      <c r="E120" s="20">
        <v>3.04</v>
      </c>
      <c r="F120" s="20">
        <v>1.38</v>
      </c>
      <c r="G120" s="20">
        <v>17.5</v>
      </c>
      <c r="H120" s="20">
        <v>14.06</v>
      </c>
      <c r="I120" s="20">
        <v>37.92</v>
      </c>
      <c r="J120" s="20">
        <v>939.53</v>
      </c>
      <c r="K120" s="32">
        <v>939854.17999999993</v>
      </c>
      <c r="L120" s="2"/>
    </row>
    <row r="121" spans="1:12" x14ac:dyDescent="0.25">
      <c r="A121" s="58">
        <v>46058</v>
      </c>
      <c r="B121" s="18">
        <v>0.79166666666666663</v>
      </c>
      <c r="C121" s="20">
        <v>3.84</v>
      </c>
      <c r="D121" s="20">
        <v>70.92</v>
      </c>
      <c r="E121" s="20">
        <v>3.08</v>
      </c>
      <c r="F121" s="20">
        <v>1.19</v>
      </c>
      <c r="G121" s="20">
        <v>17.489999999999998</v>
      </c>
      <c r="H121" s="20">
        <v>14.08</v>
      </c>
      <c r="I121" s="20">
        <v>38.049999999999997</v>
      </c>
      <c r="J121" s="20">
        <v>939.09</v>
      </c>
      <c r="K121" s="32">
        <v>935107.19</v>
      </c>
      <c r="L121" s="2"/>
    </row>
    <row r="122" spans="1:12" x14ac:dyDescent="0.25">
      <c r="A122" s="58">
        <v>46058</v>
      </c>
      <c r="B122" s="18">
        <v>0.83333333333333337</v>
      </c>
      <c r="C122" s="20">
        <v>4.6500000000000004</v>
      </c>
      <c r="D122" s="20">
        <v>70.400000000000006</v>
      </c>
      <c r="E122" s="20">
        <v>2.52</v>
      </c>
      <c r="F122" s="20">
        <v>1.76</v>
      </c>
      <c r="G122" s="20">
        <v>17.5</v>
      </c>
      <c r="H122" s="20">
        <v>14.08</v>
      </c>
      <c r="I122" s="20">
        <v>38.08</v>
      </c>
      <c r="J122" s="20">
        <v>938.83</v>
      </c>
      <c r="K122" s="32">
        <v>926629.62999999989</v>
      </c>
      <c r="L122" s="2"/>
    </row>
    <row r="123" spans="1:12" x14ac:dyDescent="0.25">
      <c r="A123" s="58">
        <v>46058</v>
      </c>
      <c r="B123" s="18">
        <v>0.875</v>
      </c>
      <c r="C123" s="20">
        <v>4.33</v>
      </c>
      <c r="D123" s="20">
        <v>70.180000000000007</v>
      </c>
      <c r="E123" s="20">
        <v>2.76</v>
      </c>
      <c r="F123" s="20">
        <v>1.17</v>
      </c>
      <c r="G123" s="20">
        <v>17.489999999999998</v>
      </c>
      <c r="H123" s="20">
        <v>14.09</v>
      </c>
      <c r="I123" s="20">
        <v>38.18</v>
      </c>
      <c r="J123" s="20">
        <v>938.37</v>
      </c>
      <c r="K123" s="32">
        <v>925389.59000000008</v>
      </c>
      <c r="L123" s="2"/>
    </row>
    <row r="124" spans="1:12" x14ac:dyDescent="0.25">
      <c r="A124" s="58">
        <v>46058</v>
      </c>
      <c r="B124" s="18">
        <v>0.91666666666666663</v>
      </c>
      <c r="C124" s="20">
        <v>3.51</v>
      </c>
      <c r="D124" s="20">
        <v>69.28</v>
      </c>
      <c r="E124" s="20">
        <v>2.64</v>
      </c>
      <c r="F124" s="20">
        <v>1.48</v>
      </c>
      <c r="G124" s="20">
        <v>17.489999999999998</v>
      </c>
      <c r="H124" s="20">
        <v>14.1</v>
      </c>
      <c r="I124" s="20">
        <v>38.19</v>
      </c>
      <c r="J124" s="20">
        <v>938.14</v>
      </c>
      <c r="K124" s="32">
        <v>915016.79</v>
      </c>
      <c r="L124" s="2"/>
    </row>
    <row r="125" spans="1:12" ht="15.75" thickBot="1" x14ac:dyDescent="0.3">
      <c r="A125" s="60">
        <v>46058</v>
      </c>
      <c r="B125" s="35">
        <v>0.95833333333333337</v>
      </c>
      <c r="C125" s="24">
        <v>2.79</v>
      </c>
      <c r="D125" s="24">
        <v>69.3</v>
      </c>
      <c r="E125" s="24">
        <v>2.65</v>
      </c>
      <c r="F125" s="24">
        <v>2.2799999999999998</v>
      </c>
      <c r="G125" s="24">
        <v>17.489999999999998</v>
      </c>
      <c r="H125" s="24">
        <v>14.12</v>
      </c>
      <c r="I125" s="24">
        <v>38.46</v>
      </c>
      <c r="J125" s="24">
        <v>937.53</v>
      </c>
      <c r="K125" s="36">
        <v>916257.6399999999</v>
      </c>
      <c r="L125" s="2"/>
    </row>
    <row r="126" spans="1:12" ht="15.75" thickBot="1" x14ac:dyDescent="0.3">
      <c r="A126" s="26" t="s">
        <v>49</v>
      </c>
      <c r="B126" s="44"/>
      <c r="C126" s="45">
        <f t="shared" ref="C126:K126" si="4">IFERROR(ROUND(AVERAGE(C102:C125), 2), "")</f>
        <v>4.1100000000000003</v>
      </c>
      <c r="D126" s="45">
        <f t="shared" si="4"/>
        <v>71.36</v>
      </c>
      <c r="E126" s="45">
        <f t="shared" si="4"/>
        <v>2.0299999999999998</v>
      </c>
      <c r="F126" s="45">
        <f t="shared" si="4"/>
        <v>1.3</v>
      </c>
      <c r="G126" s="45">
        <f t="shared" si="4"/>
        <v>17.489999999999998</v>
      </c>
      <c r="H126" s="45">
        <f t="shared" si="4"/>
        <v>14.09</v>
      </c>
      <c r="I126" s="45">
        <f t="shared" si="4"/>
        <v>38.700000000000003</v>
      </c>
      <c r="J126" s="45">
        <f t="shared" si="4"/>
        <v>940.27</v>
      </c>
      <c r="K126" s="46">
        <f t="shared" si="4"/>
        <v>970470.21</v>
      </c>
      <c r="L126" s="7"/>
    </row>
    <row r="127" spans="1:12" x14ac:dyDescent="0.25">
      <c r="A127" s="57">
        <v>46059</v>
      </c>
      <c r="B127" s="14">
        <v>0</v>
      </c>
      <c r="C127" s="16">
        <v>4.21</v>
      </c>
      <c r="D127" s="16">
        <v>69.86</v>
      </c>
      <c r="E127" s="16">
        <v>2.86</v>
      </c>
      <c r="F127" s="16">
        <v>2.9</v>
      </c>
      <c r="G127" s="16">
        <v>17.489999999999998</v>
      </c>
      <c r="H127" s="16">
        <v>14.12</v>
      </c>
      <c r="I127" s="16">
        <v>38.32</v>
      </c>
      <c r="J127" s="16">
        <v>937.33</v>
      </c>
      <c r="K127" s="31">
        <v>912539.26</v>
      </c>
      <c r="L127" s="2"/>
    </row>
    <row r="128" spans="1:12" x14ac:dyDescent="0.25">
      <c r="A128" s="58">
        <v>46059</v>
      </c>
      <c r="B128" s="18">
        <v>4.1666666666666664E-2</v>
      </c>
      <c r="C128" s="20">
        <v>5.05</v>
      </c>
      <c r="D128" s="20">
        <v>68.69</v>
      </c>
      <c r="E128" s="20">
        <v>2.38</v>
      </c>
      <c r="F128" s="20">
        <v>2.96</v>
      </c>
      <c r="G128" s="20">
        <v>17.5</v>
      </c>
      <c r="H128" s="20">
        <v>14.12</v>
      </c>
      <c r="I128" s="20">
        <v>38.299999999999997</v>
      </c>
      <c r="J128" s="20">
        <v>937.04</v>
      </c>
      <c r="K128" s="32">
        <v>898244.26</v>
      </c>
      <c r="L128" s="2"/>
    </row>
    <row r="129" spans="1:12" x14ac:dyDescent="0.25">
      <c r="A129" s="58">
        <v>46059</v>
      </c>
      <c r="B129" s="18">
        <v>8.3333333333333329E-2</v>
      </c>
      <c r="C129" s="20">
        <v>4.83</v>
      </c>
      <c r="D129" s="20">
        <v>68.56</v>
      </c>
      <c r="E129" s="20">
        <v>2.44</v>
      </c>
      <c r="F129" s="20">
        <v>2.0099999999999998</v>
      </c>
      <c r="G129" s="20">
        <v>17.52</v>
      </c>
      <c r="H129" s="20">
        <v>14.13</v>
      </c>
      <c r="I129" s="20">
        <v>38.35</v>
      </c>
      <c r="J129" s="20">
        <v>936.64</v>
      </c>
      <c r="K129" s="32">
        <v>904743.01</v>
      </c>
      <c r="L129" s="2"/>
    </row>
    <row r="130" spans="1:12" x14ac:dyDescent="0.25">
      <c r="A130" s="58">
        <v>46059</v>
      </c>
      <c r="B130" s="18">
        <v>0.125</v>
      </c>
      <c r="C130" s="20">
        <v>5</v>
      </c>
      <c r="D130" s="20">
        <v>68.27</v>
      </c>
      <c r="E130" s="20">
        <v>2.27</v>
      </c>
      <c r="F130" s="20">
        <v>1.21</v>
      </c>
      <c r="G130" s="20">
        <v>17.52</v>
      </c>
      <c r="H130" s="20">
        <v>14.13</v>
      </c>
      <c r="I130" s="20">
        <v>38.24</v>
      </c>
      <c r="J130" s="20">
        <v>936.35</v>
      </c>
      <c r="K130" s="32">
        <v>895772.1399999999</v>
      </c>
      <c r="L130" s="2"/>
    </row>
    <row r="131" spans="1:12" x14ac:dyDescent="0.25">
      <c r="A131" s="58">
        <v>46059</v>
      </c>
      <c r="B131" s="18">
        <v>0.16666666666666666</v>
      </c>
      <c r="C131" s="20">
        <v>3.89</v>
      </c>
      <c r="D131" s="20">
        <v>68</v>
      </c>
      <c r="E131" s="20">
        <v>2.83</v>
      </c>
      <c r="F131" s="20">
        <v>1.25</v>
      </c>
      <c r="G131" s="20">
        <v>17.52</v>
      </c>
      <c r="H131" s="20">
        <v>14.13</v>
      </c>
      <c r="I131" s="20">
        <v>38.28</v>
      </c>
      <c r="J131" s="20">
        <v>935.96</v>
      </c>
      <c r="K131" s="32">
        <v>896369.52</v>
      </c>
      <c r="L131" s="2"/>
    </row>
    <row r="132" spans="1:12" x14ac:dyDescent="0.25">
      <c r="A132" s="58">
        <v>46059</v>
      </c>
      <c r="B132" s="18">
        <v>0.20833333333333334</v>
      </c>
      <c r="C132" s="20">
        <v>2.37</v>
      </c>
      <c r="D132" s="20">
        <v>67.64</v>
      </c>
      <c r="E132" s="20">
        <v>3.01</v>
      </c>
      <c r="F132" s="20">
        <v>0.71</v>
      </c>
      <c r="G132" s="20">
        <v>17.53</v>
      </c>
      <c r="H132" s="20">
        <v>14.14</v>
      </c>
      <c r="I132" s="20">
        <v>38.28</v>
      </c>
      <c r="J132" s="20">
        <v>935.77</v>
      </c>
      <c r="K132" s="32">
        <v>893574.05</v>
      </c>
      <c r="L132" s="2"/>
    </row>
    <row r="133" spans="1:12" x14ac:dyDescent="0.25">
      <c r="A133" s="58">
        <v>46059</v>
      </c>
      <c r="B133" s="18">
        <v>0.25</v>
      </c>
      <c r="C133" s="20">
        <v>3.69</v>
      </c>
      <c r="D133" s="20">
        <v>67.260000000000005</v>
      </c>
      <c r="E133" s="20">
        <v>2.77</v>
      </c>
      <c r="F133" s="20">
        <v>2.2400000000000002</v>
      </c>
      <c r="G133" s="20">
        <v>17.489999999999998</v>
      </c>
      <c r="H133" s="20">
        <v>14.13</v>
      </c>
      <c r="I133" s="20">
        <v>38.17</v>
      </c>
      <c r="J133" s="20">
        <v>935.94</v>
      </c>
      <c r="K133" s="32">
        <v>868173.53</v>
      </c>
      <c r="L133" s="2"/>
    </row>
    <row r="134" spans="1:12" x14ac:dyDescent="0.25">
      <c r="A134" s="58">
        <v>46059</v>
      </c>
      <c r="B134" s="18">
        <v>0.29166666666666669</v>
      </c>
      <c r="C134" s="20">
        <v>5.23</v>
      </c>
      <c r="D134" s="20">
        <v>66.52</v>
      </c>
      <c r="E134" s="20">
        <v>3.2</v>
      </c>
      <c r="F134" s="20">
        <v>2.86</v>
      </c>
      <c r="G134" s="20">
        <v>17.489999999999998</v>
      </c>
      <c r="H134" s="20">
        <v>14.12</v>
      </c>
      <c r="I134" s="20">
        <v>38.01</v>
      </c>
      <c r="J134" s="20">
        <v>936.1</v>
      </c>
      <c r="K134" s="32">
        <v>864629.1100000001</v>
      </c>
      <c r="L134" s="2"/>
    </row>
    <row r="135" spans="1:12" x14ac:dyDescent="0.25">
      <c r="A135" s="58">
        <v>46059</v>
      </c>
      <c r="B135" s="18">
        <v>0.33333333333333331</v>
      </c>
      <c r="C135" s="20">
        <v>5.84</v>
      </c>
      <c r="D135" s="20">
        <v>66.62</v>
      </c>
      <c r="E135" s="20">
        <v>3.26</v>
      </c>
      <c r="F135" s="20">
        <v>2.12</v>
      </c>
      <c r="G135" s="20">
        <v>17.489999999999998</v>
      </c>
      <c r="H135" s="20">
        <v>14.12</v>
      </c>
      <c r="I135" s="20">
        <v>38.11</v>
      </c>
      <c r="J135" s="20">
        <v>936.26</v>
      </c>
      <c r="K135" s="32">
        <v>862751.3</v>
      </c>
      <c r="L135" s="2"/>
    </row>
    <row r="136" spans="1:12" x14ac:dyDescent="0.25">
      <c r="A136" s="58">
        <v>46059</v>
      </c>
      <c r="B136" s="18">
        <v>0.375</v>
      </c>
      <c r="C136" s="20">
        <v>4.08</v>
      </c>
      <c r="D136" s="20">
        <v>67.39</v>
      </c>
      <c r="E136" s="20">
        <v>2.77</v>
      </c>
      <c r="F136" s="20">
        <v>2.35</v>
      </c>
      <c r="G136" s="20">
        <v>17.48</v>
      </c>
      <c r="H136" s="20">
        <v>14.14</v>
      </c>
      <c r="I136" s="20">
        <v>38.54</v>
      </c>
      <c r="J136" s="20">
        <v>936.29</v>
      </c>
      <c r="K136" s="32">
        <v>877303.6399999999</v>
      </c>
      <c r="L136" s="2"/>
    </row>
    <row r="137" spans="1:12" x14ac:dyDescent="0.25">
      <c r="A137" s="58">
        <v>46059</v>
      </c>
      <c r="B137" s="18">
        <v>0.41666666666666669</v>
      </c>
      <c r="C137" s="20">
        <v>4.99</v>
      </c>
      <c r="D137" s="20">
        <v>69.75</v>
      </c>
      <c r="E137" s="20">
        <v>3.04</v>
      </c>
      <c r="F137" s="20">
        <v>1.82</v>
      </c>
      <c r="G137" s="20">
        <v>17.440000000000001</v>
      </c>
      <c r="H137" s="20">
        <v>14.19</v>
      </c>
      <c r="I137" s="20">
        <v>39.61</v>
      </c>
      <c r="J137" s="20">
        <v>936.53</v>
      </c>
      <c r="K137" s="32">
        <v>903759.92999999993</v>
      </c>
      <c r="L137" s="2"/>
    </row>
    <row r="138" spans="1:12" x14ac:dyDescent="0.25">
      <c r="A138" s="58">
        <v>46059</v>
      </c>
      <c r="B138" s="18">
        <v>0.45833333333333331</v>
      </c>
      <c r="C138" s="20">
        <v>3.78</v>
      </c>
      <c r="D138" s="20">
        <v>72.89</v>
      </c>
      <c r="E138" s="20">
        <v>2.5</v>
      </c>
      <c r="F138" s="20">
        <v>1.65</v>
      </c>
      <c r="G138" s="20">
        <v>17.45</v>
      </c>
      <c r="H138" s="20">
        <v>14.22</v>
      </c>
      <c r="I138" s="20">
        <v>40.29</v>
      </c>
      <c r="J138" s="20">
        <v>936.08</v>
      </c>
      <c r="K138" s="32">
        <v>899768.6399999999</v>
      </c>
      <c r="L138" s="2"/>
    </row>
    <row r="139" spans="1:12" x14ac:dyDescent="0.25">
      <c r="A139" s="58">
        <v>46059</v>
      </c>
      <c r="B139" s="18">
        <v>0.5</v>
      </c>
      <c r="C139" s="20">
        <v>5.21</v>
      </c>
      <c r="D139" s="20">
        <v>72.63</v>
      </c>
      <c r="E139" s="20">
        <v>2.27</v>
      </c>
      <c r="F139" s="20">
        <v>1.42</v>
      </c>
      <c r="G139" s="20">
        <v>17.440000000000001</v>
      </c>
      <c r="H139" s="20">
        <v>14.26</v>
      </c>
      <c r="I139" s="20">
        <v>40.86</v>
      </c>
      <c r="J139" s="20">
        <v>935.65</v>
      </c>
      <c r="K139" s="32">
        <v>896131.69</v>
      </c>
      <c r="L139" s="2"/>
    </row>
    <row r="140" spans="1:12" x14ac:dyDescent="0.25">
      <c r="A140" s="58">
        <v>46059</v>
      </c>
      <c r="B140" s="18">
        <v>0.54166666666666663</v>
      </c>
      <c r="C140" s="20">
        <v>2.11</v>
      </c>
      <c r="D140" s="20">
        <v>72.89</v>
      </c>
      <c r="E140" s="20">
        <v>2.2000000000000002</v>
      </c>
      <c r="F140" s="20">
        <v>1.1399999999999999</v>
      </c>
      <c r="G140" s="20">
        <v>17.45</v>
      </c>
      <c r="H140" s="20">
        <v>14.27</v>
      </c>
      <c r="I140" s="20">
        <v>41.04</v>
      </c>
      <c r="J140" s="20">
        <v>935.21</v>
      </c>
      <c r="K140" s="32">
        <v>890068.76</v>
      </c>
      <c r="L140" s="2"/>
    </row>
    <row r="141" spans="1:12" x14ac:dyDescent="0.25">
      <c r="A141" s="58">
        <v>46059</v>
      </c>
      <c r="B141" s="18">
        <v>0.58333333333333337</v>
      </c>
      <c r="C141" s="20">
        <v>3.48</v>
      </c>
      <c r="D141" s="20">
        <v>70.25</v>
      </c>
      <c r="E141" s="20">
        <v>2.97</v>
      </c>
      <c r="F141" s="20">
        <v>4.75</v>
      </c>
      <c r="G141" s="20">
        <v>17.43</v>
      </c>
      <c r="H141" s="20">
        <v>14.28</v>
      </c>
      <c r="I141" s="20">
        <v>41.22</v>
      </c>
      <c r="J141" s="20">
        <v>935.21</v>
      </c>
      <c r="K141" s="32">
        <v>903686.33000000007</v>
      </c>
      <c r="L141" s="2"/>
    </row>
    <row r="142" spans="1:12" x14ac:dyDescent="0.25">
      <c r="A142" s="58">
        <v>46059</v>
      </c>
      <c r="B142" s="18">
        <v>0.625</v>
      </c>
      <c r="C142" s="20">
        <v>4.16</v>
      </c>
      <c r="D142" s="20">
        <v>71.8</v>
      </c>
      <c r="E142" s="20">
        <v>2.59</v>
      </c>
      <c r="F142" s="20">
        <v>9</v>
      </c>
      <c r="G142" s="20">
        <v>17.309999999999999</v>
      </c>
      <c r="H142" s="20">
        <v>14.33</v>
      </c>
      <c r="I142" s="20">
        <v>42.2</v>
      </c>
      <c r="J142" s="20">
        <v>935.17</v>
      </c>
      <c r="K142" s="32">
        <v>946837.73</v>
      </c>
      <c r="L142" s="2"/>
    </row>
    <row r="143" spans="1:12" x14ac:dyDescent="0.25">
      <c r="A143" s="58">
        <v>46059</v>
      </c>
      <c r="B143" s="18">
        <v>0.66666666666666663</v>
      </c>
      <c r="C143" s="20">
        <v>6.01</v>
      </c>
      <c r="D143" s="20">
        <v>75.31</v>
      </c>
      <c r="E143" s="20">
        <v>2.65</v>
      </c>
      <c r="F143" s="20">
        <v>5.71</v>
      </c>
      <c r="G143" s="20">
        <v>17.28</v>
      </c>
      <c r="H143" s="20">
        <v>14.36</v>
      </c>
      <c r="I143" s="20">
        <v>42.91</v>
      </c>
      <c r="J143" s="20">
        <v>935.2</v>
      </c>
      <c r="K143" s="32">
        <v>933506.08000000007</v>
      </c>
      <c r="L143" s="2"/>
    </row>
    <row r="144" spans="1:12" x14ac:dyDescent="0.25">
      <c r="A144" s="58">
        <v>46059</v>
      </c>
      <c r="B144" s="18">
        <v>0.70833333333333337</v>
      </c>
      <c r="C144" s="20">
        <v>3.33</v>
      </c>
      <c r="D144" s="20">
        <v>74.790000000000006</v>
      </c>
      <c r="E144" s="20">
        <v>2.73</v>
      </c>
      <c r="F144" s="20">
        <v>0.7</v>
      </c>
      <c r="G144" s="20">
        <v>17.399999999999999</v>
      </c>
      <c r="H144" s="20">
        <v>14.32</v>
      </c>
      <c r="I144" s="20">
        <v>42.06</v>
      </c>
      <c r="J144" s="20">
        <v>935.21</v>
      </c>
      <c r="K144" s="32">
        <v>918948.56</v>
      </c>
      <c r="L144" s="2"/>
    </row>
    <row r="145" spans="1:12" x14ac:dyDescent="0.25">
      <c r="A145" s="58">
        <v>46059</v>
      </c>
      <c r="B145" s="18">
        <v>0.75</v>
      </c>
      <c r="C145" s="20">
        <v>5.04</v>
      </c>
      <c r="D145" s="20">
        <v>76.180000000000007</v>
      </c>
      <c r="E145" s="20">
        <v>2.94</v>
      </c>
      <c r="F145" s="20">
        <v>0.48</v>
      </c>
      <c r="G145" s="20">
        <v>17.420000000000002</v>
      </c>
      <c r="H145" s="20">
        <v>14.31</v>
      </c>
      <c r="I145" s="20">
        <v>41.92</v>
      </c>
      <c r="J145" s="20">
        <v>935.16</v>
      </c>
      <c r="K145" s="32">
        <v>914669.97</v>
      </c>
      <c r="L145" s="2"/>
    </row>
    <row r="146" spans="1:12" x14ac:dyDescent="0.25">
      <c r="A146" s="58">
        <v>46059</v>
      </c>
      <c r="B146" s="18">
        <v>0.79166666666666663</v>
      </c>
      <c r="C146" s="20">
        <v>4.4400000000000004</v>
      </c>
      <c r="D146" s="20">
        <v>76.64</v>
      </c>
      <c r="E146" s="20">
        <v>2.89</v>
      </c>
      <c r="F146" s="20">
        <v>0.75</v>
      </c>
      <c r="G146" s="20">
        <v>17.43</v>
      </c>
      <c r="H146" s="20">
        <v>14.31</v>
      </c>
      <c r="I146" s="20">
        <v>41.95</v>
      </c>
      <c r="J146" s="20">
        <v>935.33</v>
      </c>
      <c r="K146" s="32">
        <v>914288.33000000007</v>
      </c>
      <c r="L146" s="2"/>
    </row>
    <row r="147" spans="1:12" x14ac:dyDescent="0.25">
      <c r="A147" s="58">
        <v>46059</v>
      </c>
      <c r="B147" s="18">
        <v>0.83333333333333337</v>
      </c>
      <c r="C147" s="20">
        <v>4.38</v>
      </c>
      <c r="D147" s="20">
        <v>76.28</v>
      </c>
      <c r="E147" s="20">
        <v>3.31</v>
      </c>
      <c r="F147" s="20">
        <v>0.72</v>
      </c>
      <c r="G147" s="20">
        <v>17.43</v>
      </c>
      <c r="H147" s="20">
        <v>14.31</v>
      </c>
      <c r="I147" s="20">
        <v>41.94</v>
      </c>
      <c r="J147" s="20">
        <v>935.39</v>
      </c>
      <c r="K147" s="32">
        <v>916757.27</v>
      </c>
      <c r="L147" s="2"/>
    </row>
    <row r="148" spans="1:12" x14ac:dyDescent="0.25">
      <c r="A148" s="58">
        <v>46059</v>
      </c>
      <c r="B148" s="18">
        <v>0.875</v>
      </c>
      <c r="C148" s="20">
        <v>3.73</v>
      </c>
      <c r="D148" s="20">
        <v>76.62</v>
      </c>
      <c r="E148" s="20">
        <v>2.71</v>
      </c>
      <c r="F148" s="20">
        <v>0.36</v>
      </c>
      <c r="G148" s="20">
        <v>17.41</v>
      </c>
      <c r="H148" s="20">
        <v>14.31</v>
      </c>
      <c r="I148" s="20">
        <v>41.94</v>
      </c>
      <c r="J148" s="20">
        <v>935.14</v>
      </c>
      <c r="K148" s="32">
        <v>919391.3600000001</v>
      </c>
      <c r="L148" s="2"/>
    </row>
    <row r="149" spans="1:12" x14ac:dyDescent="0.25">
      <c r="A149" s="58">
        <v>46059</v>
      </c>
      <c r="B149" s="18">
        <v>0.91666666666666663</v>
      </c>
      <c r="C149" s="20">
        <v>3.25</v>
      </c>
      <c r="D149" s="20">
        <v>76.25</v>
      </c>
      <c r="E149" s="20">
        <v>2.25</v>
      </c>
      <c r="F149" s="20">
        <v>0.99</v>
      </c>
      <c r="G149" s="20">
        <v>17.41</v>
      </c>
      <c r="H149" s="20">
        <v>14.32</v>
      </c>
      <c r="I149" s="20">
        <v>42.06</v>
      </c>
      <c r="J149" s="20">
        <v>934.99</v>
      </c>
      <c r="K149" s="32">
        <v>913507.35000000009</v>
      </c>
      <c r="L149" s="2"/>
    </row>
    <row r="150" spans="1:12" ht="15.75" thickBot="1" x14ac:dyDescent="0.3">
      <c r="A150" s="59">
        <v>46059</v>
      </c>
      <c r="B150" s="22">
        <v>0.95833333333333337</v>
      </c>
      <c r="C150" s="33">
        <v>3.46</v>
      </c>
      <c r="D150" s="33">
        <v>76.760000000000005</v>
      </c>
      <c r="E150" s="33">
        <v>2.2599999999999998</v>
      </c>
      <c r="F150" s="33">
        <v>0.75</v>
      </c>
      <c r="G150" s="33">
        <v>17.420000000000002</v>
      </c>
      <c r="H150" s="33">
        <v>14.32</v>
      </c>
      <c r="I150" s="33">
        <v>42.13</v>
      </c>
      <c r="J150" s="33">
        <v>935.04</v>
      </c>
      <c r="K150" s="34">
        <v>918632.22</v>
      </c>
      <c r="L150" s="2"/>
    </row>
    <row r="151" spans="1:12" ht="15.75" thickBot="1" x14ac:dyDescent="0.3">
      <c r="A151" s="26" t="s">
        <v>50</v>
      </c>
      <c r="B151" s="44"/>
      <c r="C151" s="45">
        <f t="shared" ref="C151:K151" si="5">IFERROR(ROUND(AVERAGE(C127:C150), 2), "")</f>
        <v>4.2300000000000004</v>
      </c>
      <c r="D151" s="45">
        <f t="shared" si="5"/>
        <v>71.58</v>
      </c>
      <c r="E151" s="45">
        <f t="shared" si="5"/>
        <v>2.71</v>
      </c>
      <c r="F151" s="45">
        <f t="shared" si="5"/>
        <v>2.12</v>
      </c>
      <c r="G151" s="45">
        <f t="shared" si="5"/>
        <v>17.45</v>
      </c>
      <c r="H151" s="45">
        <f t="shared" si="5"/>
        <v>14.22</v>
      </c>
      <c r="I151" s="45">
        <f t="shared" si="5"/>
        <v>40.200000000000003</v>
      </c>
      <c r="J151" s="45">
        <f t="shared" si="5"/>
        <v>935.79</v>
      </c>
      <c r="K151" s="46">
        <f t="shared" si="5"/>
        <v>902668.92</v>
      </c>
      <c r="L151" s="7"/>
    </row>
    <row r="152" spans="1:12" x14ac:dyDescent="0.25">
      <c r="A152" s="57">
        <v>46060</v>
      </c>
      <c r="B152" s="14">
        <v>0</v>
      </c>
      <c r="C152" s="16">
        <v>3.8</v>
      </c>
      <c r="D152" s="16">
        <v>76.05</v>
      </c>
      <c r="E152" s="16">
        <v>2.52</v>
      </c>
      <c r="F152" s="16">
        <v>1.68</v>
      </c>
      <c r="G152" s="16">
        <v>17.45</v>
      </c>
      <c r="H152" s="16">
        <v>14.34</v>
      </c>
      <c r="I152" s="16">
        <v>42.25</v>
      </c>
      <c r="J152" s="16">
        <v>934.78</v>
      </c>
      <c r="K152" s="31">
        <v>927732.23</v>
      </c>
      <c r="L152" s="2"/>
    </row>
    <row r="153" spans="1:12" x14ac:dyDescent="0.25">
      <c r="A153" s="58">
        <v>46060</v>
      </c>
      <c r="B153" s="18">
        <v>4.1666666666666664E-2</v>
      </c>
      <c r="C153" s="20">
        <v>3.69</v>
      </c>
      <c r="D153" s="20">
        <v>75.099999999999994</v>
      </c>
      <c r="E153" s="20">
        <v>2.6</v>
      </c>
      <c r="F153" s="20">
        <v>0.88</v>
      </c>
      <c r="G153" s="20">
        <v>17.5</v>
      </c>
      <c r="H153" s="20">
        <v>14.31</v>
      </c>
      <c r="I153" s="20">
        <v>41.5</v>
      </c>
      <c r="J153" s="20">
        <v>934.43</v>
      </c>
      <c r="K153" s="32">
        <v>904987.03</v>
      </c>
      <c r="L153" s="2"/>
    </row>
    <row r="154" spans="1:12" x14ac:dyDescent="0.25">
      <c r="A154" s="58">
        <v>46060</v>
      </c>
      <c r="B154" s="18">
        <v>8.3333333333333329E-2</v>
      </c>
      <c r="C154" s="20">
        <v>6.15</v>
      </c>
      <c r="D154" s="20">
        <v>74.34</v>
      </c>
      <c r="E154" s="20">
        <v>3.01</v>
      </c>
      <c r="F154" s="20">
        <v>0.31</v>
      </c>
      <c r="G154" s="20">
        <v>17.52</v>
      </c>
      <c r="H154" s="20">
        <v>14.28</v>
      </c>
      <c r="I154" s="20">
        <v>41.01</v>
      </c>
      <c r="J154" s="20">
        <v>934.49</v>
      </c>
      <c r="K154" s="32">
        <v>915130.59000000008</v>
      </c>
      <c r="L154" s="2"/>
    </row>
    <row r="155" spans="1:12" x14ac:dyDescent="0.25">
      <c r="A155" s="58">
        <v>46060</v>
      </c>
      <c r="B155" s="18">
        <v>0.125</v>
      </c>
      <c r="C155" s="20">
        <v>4.3</v>
      </c>
      <c r="D155" s="20">
        <v>74.239999999999995</v>
      </c>
      <c r="E155" s="20">
        <v>3.33</v>
      </c>
      <c r="F155" s="20">
        <v>0.31</v>
      </c>
      <c r="G155" s="20">
        <v>17.5</v>
      </c>
      <c r="H155" s="20">
        <v>14.28</v>
      </c>
      <c r="I155" s="20">
        <v>40.82</v>
      </c>
      <c r="J155" s="20">
        <v>934.11</v>
      </c>
      <c r="K155" s="32">
        <v>926085.1399999999</v>
      </c>
      <c r="L155" s="2"/>
    </row>
    <row r="156" spans="1:12" x14ac:dyDescent="0.25">
      <c r="A156" s="58">
        <v>46060</v>
      </c>
      <c r="B156" s="18">
        <v>0.16666666666666666</v>
      </c>
      <c r="C156" s="20">
        <v>4.12</v>
      </c>
      <c r="D156" s="20">
        <v>74.010000000000005</v>
      </c>
      <c r="E156" s="20">
        <v>2.99</v>
      </c>
      <c r="F156" s="20">
        <v>0.1</v>
      </c>
      <c r="G156" s="20">
        <v>17.52</v>
      </c>
      <c r="H156" s="20">
        <v>14.27</v>
      </c>
      <c r="I156" s="20">
        <v>40.43</v>
      </c>
      <c r="J156" s="20">
        <v>933.79</v>
      </c>
      <c r="K156" s="32">
        <v>908860.25</v>
      </c>
      <c r="L156" s="2"/>
    </row>
    <row r="157" spans="1:12" x14ac:dyDescent="0.25">
      <c r="A157" s="58">
        <v>46060</v>
      </c>
      <c r="B157" s="18">
        <v>0.20833333333333334</v>
      </c>
      <c r="C157" s="20">
        <v>4.62</v>
      </c>
      <c r="D157" s="20">
        <v>73.22</v>
      </c>
      <c r="E157" s="20">
        <v>2.81</v>
      </c>
      <c r="F157" s="20">
        <v>0.1</v>
      </c>
      <c r="G157" s="20">
        <v>17.5</v>
      </c>
      <c r="H157" s="20">
        <v>14.27</v>
      </c>
      <c r="I157" s="20">
        <v>40.4</v>
      </c>
      <c r="J157" s="20">
        <v>933.44</v>
      </c>
      <c r="K157" s="32">
        <v>908854.37000000011</v>
      </c>
      <c r="L157" s="2"/>
    </row>
    <row r="158" spans="1:12" x14ac:dyDescent="0.25">
      <c r="A158" s="58">
        <v>46060</v>
      </c>
      <c r="B158" s="18">
        <v>0.25</v>
      </c>
      <c r="C158" s="20">
        <v>3.36</v>
      </c>
      <c r="D158" s="20">
        <v>73.58</v>
      </c>
      <c r="E158" s="20">
        <v>2.2400000000000002</v>
      </c>
      <c r="F158" s="20">
        <v>0.66</v>
      </c>
      <c r="G158" s="20">
        <v>17.52</v>
      </c>
      <c r="H158" s="20">
        <v>14.27</v>
      </c>
      <c r="I158" s="20">
        <v>40.270000000000003</v>
      </c>
      <c r="J158" s="20">
        <v>933.29</v>
      </c>
      <c r="K158" s="32">
        <v>912462.2</v>
      </c>
      <c r="L158" s="2"/>
    </row>
    <row r="159" spans="1:12" x14ac:dyDescent="0.25">
      <c r="A159" s="58">
        <v>46060</v>
      </c>
      <c r="B159" s="18">
        <v>0.29166666666666669</v>
      </c>
      <c r="C159" s="20">
        <v>1.71</v>
      </c>
      <c r="D159" s="20">
        <v>74.099999999999994</v>
      </c>
      <c r="E159" s="20">
        <v>2.44</v>
      </c>
      <c r="F159" s="20">
        <v>0.25</v>
      </c>
      <c r="G159" s="20">
        <v>17.53</v>
      </c>
      <c r="H159" s="20">
        <v>14.26</v>
      </c>
      <c r="I159" s="20">
        <v>40.119999999999997</v>
      </c>
      <c r="J159" s="20">
        <v>933.39</v>
      </c>
      <c r="K159" s="32">
        <v>906623.07000000007</v>
      </c>
      <c r="L159" s="2"/>
    </row>
    <row r="160" spans="1:12" x14ac:dyDescent="0.25">
      <c r="A160" s="58">
        <v>46060</v>
      </c>
      <c r="B160" s="18">
        <v>0.33333333333333331</v>
      </c>
      <c r="C160" s="20">
        <v>3.87</v>
      </c>
      <c r="D160" s="20">
        <v>74.34</v>
      </c>
      <c r="E160" s="20">
        <v>2.5499999999999998</v>
      </c>
      <c r="F160" s="20">
        <v>0.25</v>
      </c>
      <c r="G160" s="20">
        <v>17.52</v>
      </c>
      <c r="H160" s="20">
        <v>14.26</v>
      </c>
      <c r="I160" s="20">
        <v>40.08</v>
      </c>
      <c r="J160" s="20">
        <v>933.45</v>
      </c>
      <c r="K160" s="32">
        <v>918189.28</v>
      </c>
      <c r="L160" s="2"/>
    </row>
    <row r="161" spans="1:12" x14ac:dyDescent="0.25">
      <c r="A161" s="58">
        <v>46060</v>
      </c>
      <c r="B161" s="18">
        <v>0.375</v>
      </c>
      <c r="C161" s="20">
        <v>3.24</v>
      </c>
      <c r="D161" s="20">
        <v>75.290000000000006</v>
      </c>
      <c r="E161" s="20">
        <v>2.59</v>
      </c>
      <c r="F161" s="20">
        <v>0.13</v>
      </c>
      <c r="G161" s="20">
        <v>17.52</v>
      </c>
      <c r="H161" s="20">
        <v>14.25</v>
      </c>
      <c r="I161" s="20">
        <v>40.06</v>
      </c>
      <c r="J161" s="20">
        <v>933.96</v>
      </c>
      <c r="K161" s="32">
        <v>903297.22</v>
      </c>
      <c r="L161" s="2"/>
    </row>
    <row r="162" spans="1:12" x14ac:dyDescent="0.25">
      <c r="A162" s="58">
        <v>46060</v>
      </c>
      <c r="B162" s="18">
        <v>0.41666666666666669</v>
      </c>
      <c r="C162" s="20">
        <v>5.83</v>
      </c>
      <c r="D162" s="20">
        <v>75.25</v>
      </c>
      <c r="E162" s="20">
        <v>2.02</v>
      </c>
      <c r="F162" s="20">
        <v>0.36</v>
      </c>
      <c r="G162" s="20">
        <v>17.52</v>
      </c>
      <c r="H162" s="20">
        <v>14.25</v>
      </c>
      <c r="I162" s="20">
        <v>40.270000000000003</v>
      </c>
      <c r="J162" s="20">
        <v>934.08</v>
      </c>
      <c r="K162" s="32">
        <v>908524.87000000011</v>
      </c>
      <c r="L162" s="2"/>
    </row>
    <row r="163" spans="1:12" x14ac:dyDescent="0.25">
      <c r="A163" s="58">
        <v>46060</v>
      </c>
      <c r="B163" s="18">
        <v>0.45833333333333331</v>
      </c>
      <c r="C163" s="20">
        <v>5.12</v>
      </c>
      <c r="D163" s="20">
        <v>74.709999999999994</v>
      </c>
      <c r="E163" s="20">
        <v>2.19</v>
      </c>
      <c r="F163" s="20">
        <v>0.23</v>
      </c>
      <c r="G163" s="20">
        <v>17.510000000000002</v>
      </c>
      <c r="H163" s="20">
        <v>14.27</v>
      </c>
      <c r="I163" s="20">
        <v>40.54</v>
      </c>
      <c r="J163" s="20">
        <v>933.96</v>
      </c>
      <c r="K163" s="32">
        <v>886203.46</v>
      </c>
      <c r="L163" s="2"/>
    </row>
    <row r="164" spans="1:12" x14ac:dyDescent="0.25">
      <c r="A164" s="58">
        <v>46060</v>
      </c>
      <c r="B164" s="18">
        <v>0.5</v>
      </c>
      <c r="C164" s="20">
        <v>4.46</v>
      </c>
      <c r="D164" s="20">
        <v>74.010000000000005</v>
      </c>
      <c r="E164" s="20">
        <v>2.4500000000000002</v>
      </c>
      <c r="F164" s="20">
        <v>0.19</v>
      </c>
      <c r="G164" s="20">
        <v>17.48</v>
      </c>
      <c r="H164" s="20">
        <v>14.29</v>
      </c>
      <c r="I164" s="20">
        <v>40.81</v>
      </c>
      <c r="J164" s="20">
        <v>933.68</v>
      </c>
      <c r="K164" s="32">
        <v>871874</v>
      </c>
      <c r="L164" s="2"/>
    </row>
    <row r="165" spans="1:12" x14ac:dyDescent="0.25">
      <c r="A165" s="58">
        <v>46060</v>
      </c>
      <c r="B165" s="18">
        <v>0.54166666666666663</v>
      </c>
      <c r="C165" s="20">
        <v>2.83</v>
      </c>
      <c r="D165" s="20">
        <v>73.239999999999995</v>
      </c>
      <c r="E165" s="20">
        <v>2.79</v>
      </c>
      <c r="F165" s="20">
        <v>0.3</v>
      </c>
      <c r="G165" s="20">
        <v>17.47</v>
      </c>
      <c r="H165" s="20">
        <v>14.3</v>
      </c>
      <c r="I165" s="20">
        <v>41.02</v>
      </c>
      <c r="J165" s="20">
        <v>933.3</v>
      </c>
      <c r="K165" s="32">
        <v>872724.89999999991</v>
      </c>
      <c r="L165" s="2"/>
    </row>
    <row r="166" spans="1:12" x14ac:dyDescent="0.25">
      <c r="A166" s="58">
        <v>46060</v>
      </c>
      <c r="B166" s="18">
        <v>0.58333333333333337</v>
      </c>
      <c r="C166" s="20">
        <v>3.98</v>
      </c>
      <c r="D166" s="20">
        <v>71.78</v>
      </c>
      <c r="E166" s="20">
        <v>2.1800000000000002</v>
      </c>
      <c r="F166" s="20">
        <v>0.7</v>
      </c>
      <c r="G166" s="20">
        <v>17.47</v>
      </c>
      <c r="H166" s="20">
        <v>14.31</v>
      </c>
      <c r="I166" s="20">
        <v>41.11</v>
      </c>
      <c r="J166" s="20">
        <v>933.08</v>
      </c>
      <c r="K166" s="32">
        <v>863849.29</v>
      </c>
      <c r="L166" s="2"/>
    </row>
    <row r="167" spans="1:12" x14ac:dyDescent="0.25">
      <c r="A167" s="58">
        <v>46060</v>
      </c>
      <c r="B167" s="18">
        <v>0.625</v>
      </c>
      <c r="C167" s="20">
        <v>4.04</v>
      </c>
      <c r="D167" s="20">
        <v>71.28</v>
      </c>
      <c r="E167" s="20">
        <v>2.23</v>
      </c>
      <c r="F167" s="20">
        <v>1.92</v>
      </c>
      <c r="G167" s="20">
        <v>17.41</v>
      </c>
      <c r="H167" s="20">
        <v>14.33</v>
      </c>
      <c r="I167" s="20">
        <v>41.69</v>
      </c>
      <c r="J167" s="20">
        <v>933.15</v>
      </c>
      <c r="K167" s="32">
        <v>909275.10000000009</v>
      </c>
      <c r="L167" s="2"/>
    </row>
    <row r="168" spans="1:12" x14ac:dyDescent="0.25">
      <c r="A168" s="58">
        <v>46060</v>
      </c>
      <c r="B168" s="18">
        <v>0.66666666666666663</v>
      </c>
      <c r="C168" s="20">
        <v>2.81</v>
      </c>
      <c r="D168" s="20">
        <v>70.44</v>
      </c>
      <c r="E168" s="20">
        <v>2.2000000000000002</v>
      </c>
      <c r="F168" s="20">
        <v>1.66</v>
      </c>
      <c r="G168" s="20">
        <v>17.39</v>
      </c>
      <c r="H168" s="20">
        <v>14.36</v>
      </c>
      <c r="I168" s="20">
        <v>42.22</v>
      </c>
      <c r="J168" s="20">
        <v>932.91</v>
      </c>
      <c r="K168" s="32">
        <v>917982.76</v>
      </c>
      <c r="L168" s="2"/>
    </row>
    <row r="169" spans="1:12" x14ac:dyDescent="0.25">
      <c r="A169" s="58">
        <v>46060</v>
      </c>
      <c r="B169" s="18">
        <v>0.70833333333333337</v>
      </c>
      <c r="C169" s="20">
        <v>3.15</v>
      </c>
      <c r="D169" s="20">
        <v>70.52</v>
      </c>
      <c r="E169" s="20">
        <v>2.0099999999999998</v>
      </c>
      <c r="F169" s="20">
        <v>2.19</v>
      </c>
      <c r="G169" s="20">
        <v>17.39</v>
      </c>
      <c r="H169" s="20">
        <v>14.36</v>
      </c>
      <c r="I169" s="20">
        <v>42.24</v>
      </c>
      <c r="J169" s="20">
        <v>932.98</v>
      </c>
      <c r="K169" s="32">
        <v>920025.56</v>
      </c>
      <c r="L169" s="2"/>
    </row>
    <row r="170" spans="1:12" x14ac:dyDescent="0.25">
      <c r="A170" s="58">
        <v>46060</v>
      </c>
      <c r="B170" s="18">
        <v>0.75</v>
      </c>
      <c r="C170" s="20">
        <v>3.52</v>
      </c>
      <c r="D170" s="20">
        <v>71.17</v>
      </c>
      <c r="E170" s="20">
        <v>2.5</v>
      </c>
      <c r="F170" s="20">
        <v>1.4</v>
      </c>
      <c r="G170" s="20">
        <v>17.39</v>
      </c>
      <c r="H170" s="20">
        <v>14.36</v>
      </c>
      <c r="I170" s="20">
        <v>42.14</v>
      </c>
      <c r="J170" s="20">
        <v>932.76</v>
      </c>
      <c r="K170" s="32">
        <v>914611.71</v>
      </c>
      <c r="L170" s="2"/>
    </row>
    <row r="171" spans="1:12" x14ac:dyDescent="0.25">
      <c r="A171" s="58">
        <v>46060</v>
      </c>
      <c r="B171" s="18">
        <v>0.79166666666666663</v>
      </c>
      <c r="C171" s="20">
        <v>3.46</v>
      </c>
      <c r="D171" s="20">
        <v>71</v>
      </c>
      <c r="E171" s="20">
        <v>2.15</v>
      </c>
      <c r="F171" s="20">
        <v>1.95</v>
      </c>
      <c r="G171" s="20">
        <v>17.399999999999999</v>
      </c>
      <c r="H171" s="20">
        <v>14.36</v>
      </c>
      <c r="I171" s="20">
        <v>42.04</v>
      </c>
      <c r="J171" s="20">
        <v>932.4</v>
      </c>
      <c r="K171" s="32">
        <v>923924.02</v>
      </c>
      <c r="L171" s="2"/>
    </row>
    <row r="172" spans="1:12" x14ac:dyDescent="0.25">
      <c r="A172" s="58">
        <v>46060</v>
      </c>
      <c r="B172" s="18">
        <v>0.83333333333333337</v>
      </c>
      <c r="C172" s="20">
        <v>2.87</v>
      </c>
      <c r="D172" s="20">
        <v>70.61</v>
      </c>
      <c r="E172" s="20">
        <v>1.9</v>
      </c>
      <c r="F172" s="20">
        <v>2.31</v>
      </c>
      <c r="G172" s="20">
        <v>17.420000000000002</v>
      </c>
      <c r="H172" s="20">
        <v>14.37</v>
      </c>
      <c r="I172" s="20">
        <v>42.15</v>
      </c>
      <c r="J172" s="20">
        <v>932.04</v>
      </c>
      <c r="K172" s="32">
        <v>934516.54</v>
      </c>
      <c r="L172" s="2"/>
    </row>
    <row r="173" spans="1:12" x14ac:dyDescent="0.25">
      <c r="A173" s="58">
        <v>46060</v>
      </c>
      <c r="B173" s="18">
        <v>0.875</v>
      </c>
      <c r="C173" s="20">
        <v>3.5</v>
      </c>
      <c r="D173" s="20">
        <v>70.61</v>
      </c>
      <c r="E173" s="20">
        <v>1.92</v>
      </c>
      <c r="F173" s="20">
        <v>2.25</v>
      </c>
      <c r="G173" s="20">
        <v>17.420000000000002</v>
      </c>
      <c r="H173" s="20">
        <v>14.37</v>
      </c>
      <c r="I173" s="20">
        <v>41.86</v>
      </c>
      <c r="J173" s="20">
        <v>931.24</v>
      </c>
      <c r="K173" s="32">
        <v>962084.19</v>
      </c>
      <c r="L173" s="2"/>
    </row>
    <row r="174" spans="1:12" x14ac:dyDescent="0.25">
      <c r="A174" s="58">
        <v>46060</v>
      </c>
      <c r="B174" s="18">
        <v>0.91666666666666663</v>
      </c>
      <c r="C174" s="20">
        <v>3.79</v>
      </c>
      <c r="D174" s="20">
        <v>71.37</v>
      </c>
      <c r="E174" s="20">
        <v>2.4</v>
      </c>
      <c r="F174" s="20">
        <v>1.73</v>
      </c>
      <c r="G174" s="20">
        <v>17.399999999999999</v>
      </c>
      <c r="H174" s="20">
        <v>14.37</v>
      </c>
      <c r="I174" s="20">
        <v>41.57</v>
      </c>
      <c r="J174" s="20">
        <v>930.34</v>
      </c>
      <c r="K174" s="32">
        <v>973196.8899999999</v>
      </c>
      <c r="L174" s="2"/>
    </row>
    <row r="175" spans="1:12" ht="15.75" thickBot="1" x14ac:dyDescent="0.3">
      <c r="A175" s="60">
        <v>46060</v>
      </c>
      <c r="B175" s="35">
        <v>0.95833333333333337</v>
      </c>
      <c r="C175" s="24">
        <v>4.0199999999999996</v>
      </c>
      <c r="D175" s="24">
        <v>72.36</v>
      </c>
      <c r="E175" s="24">
        <v>2.56</v>
      </c>
      <c r="F175" s="24">
        <v>1.63</v>
      </c>
      <c r="G175" s="24">
        <v>17.38</v>
      </c>
      <c r="H175" s="24">
        <v>14.38</v>
      </c>
      <c r="I175" s="24">
        <v>41.35</v>
      </c>
      <c r="J175" s="24">
        <v>929.41</v>
      </c>
      <c r="K175" s="36">
        <v>978459.66999999993</v>
      </c>
      <c r="L175" s="2"/>
    </row>
    <row r="176" spans="1:12" ht="15.75" thickBot="1" x14ac:dyDescent="0.3">
      <c r="A176" s="26" t="s">
        <v>51</v>
      </c>
      <c r="B176" s="44"/>
      <c r="C176" s="45">
        <f t="shared" ref="C176:K176" si="6">IFERROR(ROUND(AVERAGE(C152:C175), 2), "")</f>
        <v>3.84</v>
      </c>
      <c r="D176" s="45">
        <f t="shared" si="6"/>
        <v>73.03</v>
      </c>
      <c r="E176" s="45">
        <f t="shared" si="6"/>
        <v>2.44</v>
      </c>
      <c r="F176" s="45">
        <f t="shared" si="6"/>
        <v>0.98</v>
      </c>
      <c r="G176" s="45">
        <f t="shared" si="6"/>
        <v>17.46</v>
      </c>
      <c r="H176" s="45">
        <f t="shared" si="6"/>
        <v>14.31</v>
      </c>
      <c r="I176" s="45">
        <f t="shared" si="6"/>
        <v>41.16</v>
      </c>
      <c r="J176" s="45">
        <f t="shared" si="6"/>
        <v>933.1</v>
      </c>
      <c r="K176" s="46">
        <f t="shared" si="6"/>
        <v>915394.76</v>
      </c>
      <c r="L176" s="7"/>
    </row>
    <row r="177" spans="1:12" x14ac:dyDescent="0.25">
      <c r="A177" s="57">
        <v>46061</v>
      </c>
      <c r="B177" s="14">
        <v>0</v>
      </c>
      <c r="C177" s="16">
        <v>4.82</v>
      </c>
      <c r="D177" s="16">
        <v>72.209999999999994</v>
      </c>
      <c r="E177" s="16">
        <v>2.5299999999999998</v>
      </c>
      <c r="F177" s="16">
        <v>1.99</v>
      </c>
      <c r="G177" s="16">
        <v>17.399999999999999</v>
      </c>
      <c r="H177" s="16">
        <v>14.39</v>
      </c>
      <c r="I177" s="16">
        <v>41.09</v>
      </c>
      <c r="J177" s="16">
        <v>927.97</v>
      </c>
      <c r="K177" s="31">
        <v>984978.12999999989</v>
      </c>
      <c r="L177" s="2"/>
    </row>
    <row r="178" spans="1:12" x14ac:dyDescent="0.25">
      <c r="A178" s="58">
        <v>46061</v>
      </c>
      <c r="B178" s="18">
        <v>4.1666666666666664E-2</v>
      </c>
      <c r="C178" s="20">
        <v>4.5199999999999996</v>
      </c>
      <c r="D178" s="20">
        <v>74.19</v>
      </c>
      <c r="E178" s="20">
        <v>2.76</v>
      </c>
      <c r="F178" s="20">
        <v>0.57999999999999996</v>
      </c>
      <c r="G178" s="20">
        <v>17.48</v>
      </c>
      <c r="H178" s="20">
        <v>14.35</v>
      </c>
      <c r="I178" s="20">
        <v>39.950000000000003</v>
      </c>
      <c r="J178" s="20">
        <v>926.87</v>
      </c>
      <c r="K178" s="32">
        <v>979905.46</v>
      </c>
      <c r="L178" s="2"/>
    </row>
    <row r="179" spans="1:12" x14ac:dyDescent="0.25">
      <c r="A179" s="58">
        <v>46061</v>
      </c>
      <c r="B179" s="18">
        <v>8.3333333333333329E-2</v>
      </c>
      <c r="C179" s="20">
        <v>6.4</v>
      </c>
      <c r="D179" s="20">
        <v>74.03</v>
      </c>
      <c r="E179" s="20">
        <v>2.74</v>
      </c>
      <c r="F179" s="20">
        <v>0.43</v>
      </c>
      <c r="G179" s="20">
        <v>17.420000000000002</v>
      </c>
      <c r="H179" s="20">
        <v>14.35</v>
      </c>
      <c r="I179" s="20">
        <v>39.340000000000003</v>
      </c>
      <c r="J179" s="20">
        <v>925.4</v>
      </c>
      <c r="K179" s="32">
        <v>987333.72</v>
      </c>
      <c r="L179" s="2"/>
    </row>
    <row r="180" spans="1:12" x14ac:dyDescent="0.25">
      <c r="A180" s="58">
        <v>46061</v>
      </c>
      <c r="B180" s="18">
        <v>0.125</v>
      </c>
      <c r="C180" s="20">
        <v>5.9</v>
      </c>
      <c r="D180" s="20">
        <v>73.11</v>
      </c>
      <c r="E180" s="20">
        <v>3.12</v>
      </c>
      <c r="F180" s="20">
        <v>0.73</v>
      </c>
      <c r="G180" s="20">
        <v>17.48</v>
      </c>
      <c r="H180" s="20">
        <v>14.35</v>
      </c>
      <c r="I180" s="20">
        <v>39.06</v>
      </c>
      <c r="J180" s="20">
        <v>924.12</v>
      </c>
      <c r="K180" s="32">
        <v>959410.51</v>
      </c>
      <c r="L180" s="2"/>
    </row>
    <row r="181" spans="1:12" x14ac:dyDescent="0.25">
      <c r="A181" s="58">
        <v>46061</v>
      </c>
      <c r="B181" s="18">
        <v>0.16666666666666666</v>
      </c>
      <c r="C181" s="20">
        <v>2.93</v>
      </c>
      <c r="D181" s="20">
        <v>71.59</v>
      </c>
      <c r="E181" s="20">
        <v>2.87</v>
      </c>
      <c r="F181" s="20">
        <v>0.87</v>
      </c>
      <c r="G181" s="20">
        <v>17.47</v>
      </c>
      <c r="H181" s="20">
        <v>14.34</v>
      </c>
      <c r="I181" s="20">
        <v>38.82</v>
      </c>
      <c r="J181" s="20">
        <v>924.16</v>
      </c>
      <c r="K181" s="32">
        <v>929524.21</v>
      </c>
      <c r="L181" s="2"/>
    </row>
    <row r="182" spans="1:12" x14ac:dyDescent="0.25">
      <c r="A182" s="58">
        <v>46061</v>
      </c>
      <c r="B182" s="18">
        <v>0.20833333333333334</v>
      </c>
      <c r="C182" s="20">
        <v>4.8</v>
      </c>
      <c r="D182" s="20">
        <v>71.53</v>
      </c>
      <c r="E182" s="20">
        <v>2.82</v>
      </c>
      <c r="F182" s="20">
        <v>1.23</v>
      </c>
      <c r="G182" s="20">
        <v>17.48</v>
      </c>
      <c r="H182" s="20">
        <v>14.35</v>
      </c>
      <c r="I182" s="20">
        <v>38.51</v>
      </c>
      <c r="J182" s="20">
        <v>922.82</v>
      </c>
      <c r="K182" s="32">
        <v>908454.92999999993</v>
      </c>
      <c r="L182" s="2"/>
    </row>
    <row r="183" spans="1:12" x14ac:dyDescent="0.25">
      <c r="A183" s="58">
        <v>46061</v>
      </c>
      <c r="B183" s="18">
        <v>0.25</v>
      </c>
      <c r="C183" s="20">
        <v>4.01</v>
      </c>
      <c r="D183" s="20">
        <v>71.86</v>
      </c>
      <c r="E183" s="20">
        <v>1.54</v>
      </c>
      <c r="F183" s="20">
        <v>1.19</v>
      </c>
      <c r="G183" s="20">
        <v>17.47</v>
      </c>
      <c r="H183" s="20">
        <v>14.34</v>
      </c>
      <c r="I183" s="20">
        <v>38.590000000000003</v>
      </c>
      <c r="J183" s="20">
        <v>923.5</v>
      </c>
      <c r="K183" s="32">
        <v>881071.98</v>
      </c>
      <c r="L183" s="2"/>
    </row>
    <row r="184" spans="1:12" x14ac:dyDescent="0.25">
      <c r="A184" s="58">
        <v>46061</v>
      </c>
      <c r="B184" s="18">
        <v>0.29166666666666669</v>
      </c>
      <c r="C184" s="20">
        <v>3.37</v>
      </c>
      <c r="D184" s="20">
        <v>71.44</v>
      </c>
      <c r="E184" s="20">
        <v>1.35</v>
      </c>
      <c r="F184" s="20">
        <v>1.66</v>
      </c>
      <c r="G184" s="20">
        <v>17.489999999999998</v>
      </c>
      <c r="H184" s="20">
        <v>14.34</v>
      </c>
      <c r="I184" s="20">
        <v>38.700000000000003</v>
      </c>
      <c r="J184" s="20">
        <v>923.53</v>
      </c>
      <c r="K184" s="32">
        <v>892864.82000000007</v>
      </c>
      <c r="L184" s="2"/>
    </row>
    <row r="185" spans="1:12" x14ac:dyDescent="0.25">
      <c r="A185" s="58">
        <v>46061</v>
      </c>
      <c r="B185" s="18">
        <v>0.33333333333333331</v>
      </c>
      <c r="C185" s="20">
        <v>3.83</v>
      </c>
      <c r="D185" s="20">
        <v>71.69</v>
      </c>
      <c r="E185" s="20">
        <v>1.7</v>
      </c>
      <c r="F185" s="20">
        <v>1.85</v>
      </c>
      <c r="G185" s="20">
        <v>17.510000000000002</v>
      </c>
      <c r="H185" s="20">
        <v>14.35</v>
      </c>
      <c r="I185" s="20">
        <v>38.75</v>
      </c>
      <c r="J185" s="20">
        <v>923.24</v>
      </c>
      <c r="K185" s="32">
        <v>892424.04</v>
      </c>
      <c r="L185" s="2"/>
    </row>
    <row r="186" spans="1:12" x14ac:dyDescent="0.25">
      <c r="A186" s="58">
        <v>46061</v>
      </c>
      <c r="B186" s="18">
        <v>0.375</v>
      </c>
      <c r="C186" s="20">
        <v>4.2699999999999996</v>
      </c>
      <c r="D186" s="20">
        <v>72.459999999999994</v>
      </c>
      <c r="E186" s="20">
        <v>2.4900000000000002</v>
      </c>
      <c r="F186" s="20">
        <v>1.85</v>
      </c>
      <c r="G186" s="20">
        <v>17.510000000000002</v>
      </c>
      <c r="H186" s="20">
        <v>14.33</v>
      </c>
      <c r="I186" s="20">
        <v>38.35</v>
      </c>
      <c r="J186" s="20">
        <v>923.2</v>
      </c>
      <c r="K186" s="32">
        <v>906344.23</v>
      </c>
      <c r="L186" s="2"/>
    </row>
    <row r="187" spans="1:12" x14ac:dyDescent="0.25">
      <c r="A187" s="58">
        <v>46061</v>
      </c>
      <c r="B187" s="18">
        <v>0.41666666666666669</v>
      </c>
      <c r="C187" s="20">
        <v>4.8499999999999996</v>
      </c>
      <c r="D187" s="20">
        <v>72.069999999999993</v>
      </c>
      <c r="E187" s="20">
        <v>2.5099999999999998</v>
      </c>
      <c r="F187" s="20">
        <v>1.08</v>
      </c>
      <c r="G187" s="20">
        <v>17.52</v>
      </c>
      <c r="H187" s="20">
        <v>14.31</v>
      </c>
      <c r="I187" s="20">
        <v>37.770000000000003</v>
      </c>
      <c r="J187" s="20">
        <v>923.05</v>
      </c>
      <c r="K187" s="32">
        <v>928067.26</v>
      </c>
      <c r="L187" s="2"/>
    </row>
    <row r="188" spans="1:12" x14ac:dyDescent="0.25">
      <c r="A188" s="58">
        <v>46061</v>
      </c>
      <c r="B188" s="18">
        <v>0.45833333333333331</v>
      </c>
      <c r="C188" s="20">
        <v>5.74</v>
      </c>
      <c r="D188" s="20">
        <v>72.459999999999994</v>
      </c>
      <c r="E188" s="20">
        <v>2.6</v>
      </c>
      <c r="F188" s="20">
        <v>1.07</v>
      </c>
      <c r="G188" s="20">
        <v>17.510000000000002</v>
      </c>
      <c r="H188" s="20">
        <v>14.3</v>
      </c>
      <c r="I188" s="20">
        <v>37.380000000000003</v>
      </c>
      <c r="J188" s="20">
        <v>922.4</v>
      </c>
      <c r="K188" s="32">
        <v>925789.17999999993</v>
      </c>
      <c r="L188" s="2"/>
    </row>
    <row r="189" spans="1:12" x14ac:dyDescent="0.25">
      <c r="A189" s="58">
        <v>46061</v>
      </c>
      <c r="B189" s="18">
        <v>0.5</v>
      </c>
      <c r="C189" s="20">
        <v>6.58</v>
      </c>
      <c r="D189" s="20">
        <v>72.64</v>
      </c>
      <c r="E189" s="20">
        <v>2.78</v>
      </c>
      <c r="F189" s="20">
        <v>1.21</v>
      </c>
      <c r="G189" s="20">
        <v>17.54</v>
      </c>
      <c r="H189" s="20">
        <v>14.3</v>
      </c>
      <c r="I189" s="20">
        <v>37.200000000000003</v>
      </c>
      <c r="J189" s="20">
        <v>921.92</v>
      </c>
      <c r="K189" s="32">
        <v>910522.37000000011</v>
      </c>
      <c r="L189" s="2"/>
    </row>
    <row r="190" spans="1:12" x14ac:dyDescent="0.25">
      <c r="A190" s="58">
        <v>46061</v>
      </c>
      <c r="B190" s="18">
        <v>0.54166666666666663</v>
      </c>
      <c r="C190" s="20">
        <v>3.23</v>
      </c>
      <c r="D190" s="20">
        <v>72.7</v>
      </c>
      <c r="E190" s="20">
        <v>3.03</v>
      </c>
      <c r="F190" s="20">
        <v>1.92</v>
      </c>
      <c r="G190" s="20">
        <v>17.510000000000002</v>
      </c>
      <c r="H190" s="20">
        <v>14.31</v>
      </c>
      <c r="I190" s="20">
        <v>37.340000000000003</v>
      </c>
      <c r="J190" s="20">
        <v>921.69</v>
      </c>
      <c r="K190" s="32">
        <v>921861.82000000007</v>
      </c>
      <c r="L190" s="2"/>
    </row>
    <row r="191" spans="1:12" x14ac:dyDescent="0.25">
      <c r="A191" s="58">
        <v>46061</v>
      </c>
      <c r="B191" s="18">
        <v>0.58333333333333337</v>
      </c>
      <c r="C191" s="20">
        <v>5.62</v>
      </c>
      <c r="D191" s="20">
        <v>73.73</v>
      </c>
      <c r="E191" s="20">
        <v>2.11</v>
      </c>
      <c r="F191" s="20">
        <v>1.4</v>
      </c>
      <c r="G191" s="20">
        <v>17.48</v>
      </c>
      <c r="H191" s="20">
        <v>14.33</v>
      </c>
      <c r="I191" s="20">
        <v>37.78</v>
      </c>
      <c r="J191" s="20">
        <v>921.94</v>
      </c>
      <c r="K191" s="32">
        <v>922293.26</v>
      </c>
      <c r="L191" s="2"/>
    </row>
    <row r="192" spans="1:12" x14ac:dyDescent="0.25">
      <c r="A192" s="58">
        <v>46061</v>
      </c>
      <c r="B192" s="18">
        <v>0.625</v>
      </c>
      <c r="C192" s="20">
        <v>4.47</v>
      </c>
      <c r="D192" s="20">
        <v>72.599999999999994</v>
      </c>
      <c r="E192" s="20">
        <v>2.25</v>
      </c>
      <c r="F192" s="20">
        <v>2.4500000000000002</v>
      </c>
      <c r="G192" s="20">
        <v>17.46</v>
      </c>
      <c r="H192" s="20">
        <v>14.32</v>
      </c>
      <c r="I192" s="20">
        <v>38.020000000000003</v>
      </c>
      <c r="J192" s="20">
        <v>922.86</v>
      </c>
      <c r="K192" s="32">
        <v>913511.82000000007</v>
      </c>
      <c r="L192" s="2"/>
    </row>
    <row r="193" spans="1:12" x14ac:dyDescent="0.25">
      <c r="A193" s="58">
        <v>46061</v>
      </c>
      <c r="B193" s="18">
        <v>0.66666666666666663</v>
      </c>
      <c r="C193" s="20">
        <v>4.13</v>
      </c>
      <c r="D193" s="20">
        <v>72.19</v>
      </c>
      <c r="E193" s="20">
        <v>2.67</v>
      </c>
      <c r="F193" s="20">
        <v>4.92</v>
      </c>
      <c r="G193" s="20">
        <v>17.41</v>
      </c>
      <c r="H193" s="20">
        <v>14.32</v>
      </c>
      <c r="I193" s="20">
        <v>38.22</v>
      </c>
      <c r="J193" s="20">
        <v>923.33</v>
      </c>
      <c r="K193" s="32">
        <v>953480.64999999991</v>
      </c>
      <c r="L193" s="2"/>
    </row>
    <row r="194" spans="1:12" x14ac:dyDescent="0.25">
      <c r="A194" s="58">
        <v>46061</v>
      </c>
      <c r="B194" s="18">
        <v>0.70833333333333337</v>
      </c>
      <c r="C194" s="20">
        <v>4.8</v>
      </c>
      <c r="D194" s="20">
        <v>71.58</v>
      </c>
      <c r="E194" s="20">
        <v>2.98</v>
      </c>
      <c r="F194" s="20">
        <v>5.96</v>
      </c>
      <c r="G194" s="20">
        <v>17.399999999999999</v>
      </c>
      <c r="H194" s="20">
        <v>14.31</v>
      </c>
      <c r="I194" s="20">
        <v>38.11</v>
      </c>
      <c r="J194" s="20">
        <v>924.09</v>
      </c>
      <c r="K194" s="32">
        <v>964533.29</v>
      </c>
      <c r="L194" s="2"/>
    </row>
    <row r="195" spans="1:12" x14ac:dyDescent="0.25">
      <c r="A195" s="58">
        <v>46061</v>
      </c>
      <c r="B195" s="18">
        <v>0.75</v>
      </c>
      <c r="C195" s="20">
        <v>5.36</v>
      </c>
      <c r="D195" s="20">
        <v>71.08</v>
      </c>
      <c r="E195" s="20">
        <v>2.25</v>
      </c>
      <c r="F195" s="20">
        <v>5.16</v>
      </c>
      <c r="G195" s="20">
        <v>17.41</v>
      </c>
      <c r="H195" s="20">
        <v>14.28</v>
      </c>
      <c r="I195" s="20">
        <v>37.67</v>
      </c>
      <c r="J195" s="20">
        <v>924.78</v>
      </c>
      <c r="K195" s="32">
        <v>960989.67999999993</v>
      </c>
      <c r="L195" s="2"/>
    </row>
    <row r="196" spans="1:12" x14ac:dyDescent="0.25">
      <c r="A196" s="58">
        <v>46061</v>
      </c>
      <c r="B196" s="18">
        <v>0.79166666666666663</v>
      </c>
      <c r="C196" s="20">
        <v>3.3</v>
      </c>
      <c r="D196" s="20">
        <v>72.150000000000006</v>
      </c>
      <c r="E196" s="20">
        <v>2.5</v>
      </c>
      <c r="F196" s="20">
        <v>4.05</v>
      </c>
      <c r="G196" s="20">
        <v>17.399999999999999</v>
      </c>
      <c r="H196" s="20">
        <v>14.26</v>
      </c>
      <c r="I196" s="20">
        <v>37.409999999999997</v>
      </c>
      <c r="J196" s="20">
        <v>925.21</v>
      </c>
      <c r="K196" s="32">
        <v>967971.52</v>
      </c>
      <c r="L196" s="2"/>
    </row>
    <row r="197" spans="1:12" x14ac:dyDescent="0.25">
      <c r="A197" s="58">
        <v>46061</v>
      </c>
      <c r="B197" s="18">
        <v>0.83333333333333337</v>
      </c>
      <c r="C197" s="20">
        <v>4.26</v>
      </c>
      <c r="D197" s="20">
        <v>73.89</v>
      </c>
      <c r="E197" s="20">
        <v>2.42</v>
      </c>
      <c r="F197" s="20">
        <v>3.9</v>
      </c>
      <c r="G197" s="20">
        <v>17.420000000000002</v>
      </c>
      <c r="H197" s="20">
        <v>14.24</v>
      </c>
      <c r="I197" s="20">
        <v>37.07</v>
      </c>
      <c r="J197" s="20">
        <v>925.49</v>
      </c>
      <c r="K197" s="32">
        <v>967878.81</v>
      </c>
      <c r="L197" s="2"/>
    </row>
    <row r="198" spans="1:12" x14ac:dyDescent="0.25">
      <c r="A198" s="58">
        <v>46061</v>
      </c>
      <c r="B198" s="18">
        <v>0.875</v>
      </c>
      <c r="C198" s="20">
        <v>4.92</v>
      </c>
      <c r="D198" s="20">
        <v>74.09</v>
      </c>
      <c r="E198" s="20">
        <v>1.73</v>
      </c>
      <c r="F198" s="20">
        <v>3.68</v>
      </c>
      <c r="G198" s="20">
        <v>17.41</v>
      </c>
      <c r="H198" s="20">
        <v>14.23</v>
      </c>
      <c r="I198" s="20">
        <v>37.08</v>
      </c>
      <c r="J198" s="20">
        <v>926.03</v>
      </c>
      <c r="K198" s="32">
        <v>959900.72</v>
      </c>
      <c r="L198" s="2"/>
    </row>
    <row r="199" spans="1:12" x14ac:dyDescent="0.25">
      <c r="A199" s="58">
        <v>46061</v>
      </c>
      <c r="B199" s="18">
        <v>0.91666666666666663</v>
      </c>
      <c r="C199" s="20">
        <v>4.21</v>
      </c>
      <c r="D199" s="20">
        <v>73.77</v>
      </c>
      <c r="E199" s="20">
        <v>1.56</v>
      </c>
      <c r="F199" s="20">
        <v>3.36</v>
      </c>
      <c r="G199" s="20">
        <v>17.43</v>
      </c>
      <c r="H199" s="20">
        <v>14.21</v>
      </c>
      <c r="I199" s="20">
        <v>36.74</v>
      </c>
      <c r="J199" s="20">
        <v>926.4</v>
      </c>
      <c r="K199" s="32">
        <v>971326.59000000008</v>
      </c>
      <c r="L199" s="2"/>
    </row>
    <row r="200" spans="1:12" ht="15.75" thickBot="1" x14ac:dyDescent="0.3">
      <c r="A200" s="60">
        <v>46061</v>
      </c>
      <c r="B200" s="35">
        <v>0.95833333333333337</v>
      </c>
      <c r="C200" s="24">
        <v>4.68</v>
      </c>
      <c r="D200" s="24">
        <v>73.87</v>
      </c>
      <c r="E200" s="24">
        <v>1.5</v>
      </c>
      <c r="F200" s="24">
        <v>2.37</v>
      </c>
      <c r="G200" s="24">
        <v>17.440000000000001</v>
      </c>
      <c r="H200" s="24">
        <v>14.18</v>
      </c>
      <c r="I200" s="24">
        <v>36.25</v>
      </c>
      <c r="J200" s="24">
        <v>926.85</v>
      </c>
      <c r="K200" s="36">
        <v>982115.01</v>
      </c>
      <c r="L200" s="2"/>
    </row>
    <row r="201" spans="1:12" ht="15.75" thickBot="1" x14ac:dyDescent="0.3">
      <c r="A201" s="26" t="s">
        <v>52</v>
      </c>
      <c r="B201" s="44"/>
      <c r="C201" s="45">
        <f t="shared" ref="C201:K201" si="7">IFERROR(ROUND(AVERAGE(C177:C200), 2), "")</f>
        <v>4.63</v>
      </c>
      <c r="D201" s="45">
        <f t="shared" si="7"/>
        <v>72.62</v>
      </c>
      <c r="E201" s="45">
        <f t="shared" si="7"/>
        <v>2.37</v>
      </c>
      <c r="F201" s="45">
        <f t="shared" si="7"/>
        <v>2.29</v>
      </c>
      <c r="G201" s="45">
        <f t="shared" si="7"/>
        <v>17.46</v>
      </c>
      <c r="H201" s="45">
        <f t="shared" si="7"/>
        <v>14.31</v>
      </c>
      <c r="I201" s="45">
        <f t="shared" si="7"/>
        <v>38.130000000000003</v>
      </c>
      <c r="J201" s="45">
        <f t="shared" si="7"/>
        <v>924.2</v>
      </c>
      <c r="K201" s="46">
        <f t="shared" si="7"/>
        <v>940523.08</v>
      </c>
      <c r="L201" s="7"/>
    </row>
    <row r="202" spans="1:12" x14ac:dyDescent="0.25">
      <c r="A202" s="57">
        <v>46062</v>
      </c>
      <c r="B202" s="14">
        <v>0</v>
      </c>
      <c r="C202" s="16">
        <v>4.7</v>
      </c>
      <c r="D202" s="16">
        <v>73.989999999999995</v>
      </c>
      <c r="E202" s="16">
        <v>1.32</v>
      </c>
      <c r="F202" s="16">
        <v>2.37</v>
      </c>
      <c r="G202" s="16">
        <v>17.43</v>
      </c>
      <c r="H202" s="16">
        <v>14.15</v>
      </c>
      <c r="I202" s="16">
        <v>35.770000000000003</v>
      </c>
      <c r="J202" s="16">
        <v>927.31</v>
      </c>
      <c r="K202" s="31">
        <v>970910.15999999992</v>
      </c>
      <c r="L202" s="2"/>
    </row>
    <row r="203" spans="1:12" x14ac:dyDescent="0.25">
      <c r="A203" s="58">
        <v>46062</v>
      </c>
      <c r="B203" s="18">
        <v>4.1666666666666664E-2</v>
      </c>
      <c r="C203" s="20">
        <v>5.47</v>
      </c>
      <c r="D203" s="20">
        <v>73.17</v>
      </c>
      <c r="E203" s="20">
        <v>1.31</v>
      </c>
      <c r="F203" s="20">
        <v>2.1800000000000002</v>
      </c>
      <c r="G203" s="20">
        <v>17.489999999999998</v>
      </c>
      <c r="H203" s="20">
        <v>14.12</v>
      </c>
      <c r="I203" s="20">
        <v>35.200000000000003</v>
      </c>
      <c r="J203" s="20">
        <v>927.62</v>
      </c>
      <c r="K203" s="32">
        <v>952837.54</v>
      </c>
      <c r="L203" s="2"/>
    </row>
    <row r="204" spans="1:12" x14ac:dyDescent="0.25">
      <c r="A204" s="58">
        <v>46062</v>
      </c>
      <c r="B204" s="18">
        <v>8.3333333333333329E-2</v>
      </c>
      <c r="C204" s="20">
        <v>5.83</v>
      </c>
      <c r="D204" s="20">
        <v>73.81</v>
      </c>
      <c r="E204" s="20">
        <v>1.34</v>
      </c>
      <c r="F204" s="20">
        <v>2.17</v>
      </c>
      <c r="G204" s="20">
        <v>17.48</v>
      </c>
      <c r="H204" s="20">
        <v>14.11</v>
      </c>
      <c r="I204" s="20">
        <v>35.36</v>
      </c>
      <c r="J204" s="20">
        <v>928.32</v>
      </c>
      <c r="K204" s="32">
        <v>939066.12000000011</v>
      </c>
      <c r="L204" s="2"/>
    </row>
    <row r="205" spans="1:12" x14ac:dyDescent="0.25">
      <c r="A205" s="58">
        <v>46062</v>
      </c>
      <c r="B205" s="18">
        <v>0.125</v>
      </c>
      <c r="C205" s="20">
        <v>5.39</v>
      </c>
      <c r="D205" s="20">
        <v>73.349999999999994</v>
      </c>
      <c r="E205" s="20">
        <v>1.31</v>
      </c>
      <c r="F205" s="20">
        <v>1.74</v>
      </c>
      <c r="G205" s="20">
        <v>17.48</v>
      </c>
      <c r="H205" s="20">
        <v>14.1</v>
      </c>
      <c r="I205" s="20">
        <v>35.33</v>
      </c>
      <c r="J205" s="20">
        <v>928.92</v>
      </c>
      <c r="K205" s="32">
        <v>934262.7</v>
      </c>
      <c r="L205" s="2"/>
    </row>
    <row r="206" spans="1:12" x14ac:dyDescent="0.25">
      <c r="A206" s="58">
        <v>46062</v>
      </c>
      <c r="B206" s="18">
        <v>0.16666666666666666</v>
      </c>
      <c r="C206" s="20">
        <v>5.82</v>
      </c>
      <c r="D206" s="20">
        <v>73.8</v>
      </c>
      <c r="E206" s="20">
        <v>1.34</v>
      </c>
      <c r="F206" s="20">
        <v>1.73</v>
      </c>
      <c r="G206" s="20">
        <v>17.440000000000001</v>
      </c>
      <c r="H206" s="20">
        <v>14.1</v>
      </c>
      <c r="I206" s="20">
        <v>35.229999999999997</v>
      </c>
      <c r="J206" s="20">
        <v>929.13</v>
      </c>
      <c r="K206" s="32">
        <v>941455.46</v>
      </c>
      <c r="L206" s="2"/>
    </row>
    <row r="207" spans="1:12" x14ac:dyDescent="0.25">
      <c r="A207" s="58">
        <v>46062</v>
      </c>
      <c r="B207" s="18">
        <v>0.20833333333333334</v>
      </c>
      <c r="C207" s="20">
        <v>5.9</v>
      </c>
      <c r="D207" s="20">
        <v>72.819999999999993</v>
      </c>
      <c r="E207" s="20">
        <v>1.31</v>
      </c>
      <c r="F207" s="20">
        <v>3.22</v>
      </c>
      <c r="G207" s="20">
        <v>17.420000000000002</v>
      </c>
      <c r="H207" s="20">
        <v>14.08</v>
      </c>
      <c r="I207" s="20">
        <v>34.950000000000003</v>
      </c>
      <c r="J207" s="20">
        <v>929.05</v>
      </c>
      <c r="K207" s="32">
        <v>948967.64999999991</v>
      </c>
      <c r="L207" s="2"/>
    </row>
    <row r="208" spans="1:12" x14ac:dyDescent="0.25">
      <c r="A208" s="58">
        <v>46062</v>
      </c>
      <c r="B208" s="18">
        <v>0.25</v>
      </c>
      <c r="C208" s="20">
        <v>4.91</v>
      </c>
      <c r="D208" s="20">
        <v>71.38</v>
      </c>
      <c r="E208" s="20">
        <v>1.26</v>
      </c>
      <c r="F208" s="20">
        <v>3.4</v>
      </c>
      <c r="G208" s="20">
        <v>17.399999999999999</v>
      </c>
      <c r="H208" s="20">
        <v>14.09</v>
      </c>
      <c r="I208" s="20">
        <v>35.08</v>
      </c>
      <c r="J208" s="20">
        <v>929.36</v>
      </c>
      <c r="K208" s="32">
        <v>954517.56</v>
      </c>
      <c r="L208" s="2"/>
    </row>
    <row r="209" spans="1:12" x14ac:dyDescent="0.25">
      <c r="A209" s="58">
        <v>46062</v>
      </c>
      <c r="B209" s="18">
        <v>0.29166666666666669</v>
      </c>
      <c r="C209" s="20">
        <v>5.35</v>
      </c>
      <c r="D209" s="20">
        <v>71.69</v>
      </c>
      <c r="E209" s="20">
        <v>1.26</v>
      </c>
      <c r="F209" s="20">
        <v>2.58</v>
      </c>
      <c r="G209" s="20">
        <v>17.39</v>
      </c>
      <c r="H209" s="20">
        <v>14.07</v>
      </c>
      <c r="I209" s="20">
        <v>34.869999999999997</v>
      </c>
      <c r="J209" s="20">
        <v>929.98</v>
      </c>
      <c r="K209" s="32">
        <v>951470.75</v>
      </c>
      <c r="L209" s="2"/>
    </row>
    <row r="210" spans="1:12" x14ac:dyDescent="0.25">
      <c r="A210" s="58">
        <v>46062</v>
      </c>
      <c r="B210" s="18">
        <v>0.33333333333333331</v>
      </c>
      <c r="C210" s="20">
        <v>6.83</v>
      </c>
      <c r="D210" s="20">
        <v>71.95</v>
      </c>
      <c r="E210" s="20">
        <v>1.23</v>
      </c>
      <c r="F210" s="20">
        <v>3.4</v>
      </c>
      <c r="G210" s="20">
        <v>17.39</v>
      </c>
      <c r="H210" s="20">
        <v>14.06</v>
      </c>
      <c r="I210" s="20">
        <v>34.799999999999997</v>
      </c>
      <c r="J210" s="20">
        <v>930.37</v>
      </c>
      <c r="K210" s="32">
        <v>955417.27</v>
      </c>
      <c r="L210" s="2"/>
    </row>
    <row r="211" spans="1:12" x14ac:dyDescent="0.25">
      <c r="A211" s="58">
        <v>46062</v>
      </c>
      <c r="B211" s="18">
        <v>0.375</v>
      </c>
      <c r="C211" s="20">
        <v>5.66</v>
      </c>
      <c r="D211" s="20">
        <v>71.56</v>
      </c>
      <c r="E211" s="20">
        <v>1.1499999999999999</v>
      </c>
      <c r="F211" s="20">
        <v>3.5</v>
      </c>
      <c r="G211" s="20">
        <v>17.39</v>
      </c>
      <c r="H211" s="20">
        <v>14.07</v>
      </c>
      <c r="I211" s="20">
        <v>35.25</v>
      </c>
      <c r="J211" s="20">
        <v>930.63</v>
      </c>
      <c r="K211" s="32">
        <v>942037.49</v>
      </c>
      <c r="L211" s="2"/>
    </row>
    <row r="212" spans="1:12" x14ac:dyDescent="0.25">
      <c r="A212" s="58">
        <v>46062</v>
      </c>
      <c r="B212" s="18">
        <v>0.41666666666666669</v>
      </c>
      <c r="C212" s="20">
        <v>5.0999999999999996</v>
      </c>
      <c r="D212" s="20">
        <v>71.53</v>
      </c>
      <c r="E212" s="20">
        <v>1.1499999999999999</v>
      </c>
      <c r="F212" s="20">
        <v>2.25</v>
      </c>
      <c r="G212" s="20">
        <v>17.39</v>
      </c>
      <c r="H212" s="20">
        <v>14.1</v>
      </c>
      <c r="I212" s="20">
        <v>35.99</v>
      </c>
      <c r="J212" s="20">
        <v>931.14</v>
      </c>
      <c r="K212" s="32">
        <v>944048.05</v>
      </c>
      <c r="L212" s="2"/>
    </row>
    <row r="213" spans="1:12" x14ac:dyDescent="0.25">
      <c r="A213" s="58">
        <v>46062</v>
      </c>
      <c r="B213" s="18">
        <v>0.45833333333333331</v>
      </c>
      <c r="C213" s="20">
        <v>4.99</v>
      </c>
      <c r="D213" s="20">
        <v>70.319999999999993</v>
      </c>
      <c r="E213" s="20">
        <v>1.24</v>
      </c>
      <c r="F213" s="20">
        <v>2.87</v>
      </c>
      <c r="G213" s="20">
        <v>17.38</v>
      </c>
      <c r="H213" s="20">
        <v>14.12</v>
      </c>
      <c r="I213" s="20">
        <v>36.57</v>
      </c>
      <c r="J213" s="20">
        <v>931.28</v>
      </c>
      <c r="K213" s="32">
        <v>934437.58000000007</v>
      </c>
      <c r="L213" s="2"/>
    </row>
    <row r="214" spans="1:12" x14ac:dyDescent="0.25">
      <c r="A214" s="58">
        <v>46062</v>
      </c>
      <c r="B214" s="18">
        <v>0.5</v>
      </c>
      <c r="C214" s="20">
        <v>6.51</v>
      </c>
      <c r="D214" s="20">
        <v>70.58</v>
      </c>
      <c r="E214" s="20">
        <v>1.01</v>
      </c>
      <c r="F214" s="20">
        <v>4.45</v>
      </c>
      <c r="G214" s="20">
        <v>17.36</v>
      </c>
      <c r="H214" s="20">
        <v>14.17</v>
      </c>
      <c r="I214" s="20">
        <v>37.450000000000003</v>
      </c>
      <c r="J214" s="20">
        <v>931</v>
      </c>
      <c r="K214" s="32">
        <v>927496.16999999993</v>
      </c>
      <c r="L214" s="2"/>
    </row>
    <row r="215" spans="1:12" x14ac:dyDescent="0.25">
      <c r="A215" s="58">
        <v>46062</v>
      </c>
      <c r="B215" s="18">
        <v>0.54166666666666663</v>
      </c>
      <c r="C215" s="20">
        <v>7.21</v>
      </c>
      <c r="D215" s="20">
        <v>69.7</v>
      </c>
      <c r="E215" s="20">
        <v>0.98</v>
      </c>
      <c r="F215" s="20">
        <v>5.41</v>
      </c>
      <c r="G215" s="20">
        <v>17.350000000000001</v>
      </c>
      <c r="H215" s="20">
        <v>14.21</v>
      </c>
      <c r="I215" s="20">
        <v>38.07</v>
      </c>
      <c r="J215" s="20">
        <v>930.39</v>
      </c>
      <c r="K215" s="32">
        <v>915069.8</v>
      </c>
      <c r="L215" s="2"/>
    </row>
    <row r="216" spans="1:12" x14ac:dyDescent="0.25">
      <c r="A216" s="58">
        <v>46062</v>
      </c>
      <c r="B216" s="18">
        <v>0.58333333333333337</v>
      </c>
      <c r="C216" s="20">
        <v>6.41</v>
      </c>
      <c r="D216" s="20">
        <v>69.39</v>
      </c>
      <c r="E216" s="20">
        <v>0.98</v>
      </c>
      <c r="F216" s="20">
        <v>5.24</v>
      </c>
      <c r="G216" s="20">
        <v>17.34</v>
      </c>
      <c r="H216" s="20">
        <v>14.24</v>
      </c>
      <c r="I216" s="20">
        <v>38.619999999999997</v>
      </c>
      <c r="J216" s="20">
        <v>929.92</v>
      </c>
      <c r="K216" s="32">
        <v>912110.10000000009</v>
      </c>
      <c r="L216" s="2"/>
    </row>
    <row r="217" spans="1:12" x14ac:dyDescent="0.25">
      <c r="A217" s="58">
        <v>46062</v>
      </c>
      <c r="B217" s="18">
        <v>0.625</v>
      </c>
      <c r="C217" s="20">
        <v>6.46</v>
      </c>
      <c r="D217" s="20">
        <v>68.34</v>
      </c>
      <c r="E217" s="20">
        <v>1.1000000000000001</v>
      </c>
      <c r="F217" s="20">
        <v>7.56</v>
      </c>
      <c r="G217" s="20">
        <v>17.34</v>
      </c>
      <c r="H217" s="20">
        <v>14.25</v>
      </c>
      <c r="I217" s="20">
        <v>38.81</v>
      </c>
      <c r="J217" s="20">
        <v>929.62</v>
      </c>
      <c r="K217" s="32">
        <v>920131.92999999993</v>
      </c>
      <c r="L217" s="2"/>
    </row>
    <row r="218" spans="1:12" x14ac:dyDescent="0.25">
      <c r="A218" s="58">
        <v>46062</v>
      </c>
      <c r="B218" s="18">
        <v>0.66666666666666663</v>
      </c>
      <c r="C218" s="20">
        <v>3.81</v>
      </c>
      <c r="D218" s="20">
        <v>67.63</v>
      </c>
      <c r="E218" s="20">
        <v>1.19</v>
      </c>
      <c r="F218" s="20">
        <v>10.4</v>
      </c>
      <c r="G218" s="20">
        <v>17.350000000000001</v>
      </c>
      <c r="H218" s="20">
        <v>14.25</v>
      </c>
      <c r="I218" s="20">
        <v>38.75</v>
      </c>
      <c r="J218" s="20">
        <v>929.56</v>
      </c>
      <c r="K218" s="32">
        <v>921284.90999999992</v>
      </c>
      <c r="L218" s="2"/>
    </row>
    <row r="219" spans="1:12" x14ac:dyDescent="0.25">
      <c r="A219" s="58">
        <v>46062</v>
      </c>
      <c r="B219" s="18">
        <v>0.70833333333333337</v>
      </c>
      <c r="C219" s="20">
        <v>5.4</v>
      </c>
      <c r="D219" s="20">
        <v>67.569999999999993</v>
      </c>
      <c r="E219" s="20">
        <v>1.28</v>
      </c>
      <c r="F219" s="20">
        <v>10.69</v>
      </c>
      <c r="G219" s="20">
        <v>17.329999999999998</v>
      </c>
      <c r="H219" s="20">
        <v>14.25</v>
      </c>
      <c r="I219" s="20">
        <v>38.729999999999997</v>
      </c>
      <c r="J219" s="20">
        <v>929.76</v>
      </c>
      <c r="K219" s="32">
        <v>924033.12000000011</v>
      </c>
      <c r="L219" s="2"/>
    </row>
    <row r="220" spans="1:12" x14ac:dyDescent="0.25">
      <c r="A220" s="58">
        <v>46062</v>
      </c>
      <c r="B220" s="18">
        <v>0.75</v>
      </c>
      <c r="C220" s="20">
        <v>3.49</v>
      </c>
      <c r="D220" s="20">
        <v>67.25</v>
      </c>
      <c r="E220" s="20">
        <v>1.04</v>
      </c>
      <c r="F220" s="20">
        <v>9.11</v>
      </c>
      <c r="G220" s="20">
        <v>17.32</v>
      </c>
      <c r="H220" s="20">
        <v>14.25</v>
      </c>
      <c r="I220" s="20">
        <v>38.72</v>
      </c>
      <c r="J220" s="20">
        <v>929.65</v>
      </c>
      <c r="K220" s="32">
        <v>919104.77</v>
      </c>
      <c r="L220" s="2"/>
    </row>
    <row r="221" spans="1:12" x14ac:dyDescent="0.25">
      <c r="A221" s="58">
        <v>46062</v>
      </c>
      <c r="B221" s="18">
        <v>0.79166666666666663</v>
      </c>
      <c r="C221" s="20">
        <v>5.24</v>
      </c>
      <c r="D221" s="20">
        <v>68.56</v>
      </c>
      <c r="E221" s="20">
        <v>0.94</v>
      </c>
      <c r="F221" s="20">
        <v>6.42</v>
      </c>
      <c r="G221" s="20">
        <v>17.329999999999998</v>
      </c>
      <c r="H221" s="20">
        <v>14.26</v>
      </c>
      <c r="I221" s="20">
        <v>38.75</v>
      </c>
      <c r="J221" s="20">
        <v>929.2</v>
      </c>
      <c r="K221" s="32">
        <v>924350.35000000009</v>
      </c>
      <c r="L221" s="2"/>
    </row>
    <row r="222" spans="1:12" x14ac:dyDescent="0.25">
      <c r="A222" s="58">
        <v>46062</v>
      </c>
      <c r="B222" s="18">
        <v>0.83333333333333337</v>
      </c>
      <c r="C222" s="20">
        <v>6.72</v>
      </c>
      <c r="D222" s="20">
        <v>68.7</v>
      </c>
      <c r="E222" s="20">
        <v>0.87</v>
      </c>
      <c r="F222" s="20">
        <v>8.83</v>
      </c>
      <c r="G222" s="20">
        <v>17.309999999999999</v>
      </c>
      <c r="H222" s="20">
        <v>14.27</v>
      </c>
      <c r="I222" s="20">
        <v>39.11</v>
      </c>
      <c r="J222" s="20">
        <v>929.11</v>
      </c>
      <c r="K222" s="32">
        <v>907142.45</v>
      </c>
      <c r="L222" s="2"/>
    </row>
    <row r="223" spans="1:12" x14ac:dyDescent="0.25">
      <c r="A223" s="58">
        <v>46062</v>
      </c>
      <c r="B223" s="18">
        <v>0.875</v>
      </c>
      <c r="C223" s="20">
        <v>5.15</v>
      </c>
      <c r="D223" s="20">
        <v>69.48</v>
      </c>
      <c r="E223" s="20">
        <v>1.0900000000000001</v>
      </c>
      <c r="F223" s="20">
        <v>6.9</v>
      </c>
      <c r="G223" s="20">
        <v>17.28</v>
      </c>
      <c r="H223" s="20">
        <v>14.28</v>
      </c>
      <c r="I223" s="20">
        <v>39.14</v>
      </c>
      <c r="J223" s="20">
        <v>928.91</v>
      </c>
      <c r="K223" s="32">
        <v>908368.3</v>
      </c>
      <c r="L223" s="2"/>
    </row>
    <row r="224" spans="1:12" x14ac:dyDescent="0.25">
      <c r="A224" s="58">
        <v>46062</v>
      </c>
      <c r="B224" s="18">
        <v>0.91666666666666663</v>
      </c>
      <c r="C224" s="20">
        <v>4.76</v>
      </c>
      <c r="D224" s="20">
        <v>70.239999999999995</v>
      </c>
      <c r="E224" s="20">
        <v>0.98</v>
      </c>
      <c r="F224" s="20">
        <v>4.83</v>
      </c>
      <c r="G224" s="20">
        <v>17.3</v>
      </c>
      <c r="H224" s="20">
        <v>14.29</v>
      </c>
      <c r="I224" s="20">
        <v>39.22</v>
      </c>
      <c r="J224" s="20">
        <v>928.4</v>
      </c>
      <c r="K224" s="32">
        <v>908940.2</v>
      </c>
      <c r="L224" s="2"/>
    </row>
    <row r="225" spans="1:12" ht="15.75" thickBot="1" x14ac:dyDescent="0.3">
      <c r="A225" s="60">
        <v>46062</v>
      </c>
      <c r="B225" s="35">
        <v>0.95833333333333337</v>
      </c>
      <c r="C225" s="24">
        <v>5.69</v>
      </c>
      <c r="D225" s="24">
        <v>71.569999999999993</v>
      </c>
      <c r="E225" s="24">
        <v>0.82</v>
      </c>
      <c r="F225" s="24">
        <v>7.09</v>
      </c>
      <c r="G225" s="24">
        <v>17.32</v>
      </c>
      <c r="H225" s="24">
        <v>14.3</v>
      </c>
      <c r="I225" s="24">
        <v>39.14</v>
      </c>
      <c r="J225" s="24">
        <v>927.83</v>
      </c>
      <c r="K225" s="36">
        <v>907409.05</v>
      </c>
      <c r="L225" s="2"/>
    </row>
    <row r="226" spans="1:12" ht="15.75" thickBot="1" x14ac:dyDescent="0.3">
      <c r="A226" s="26" t="s">
        <v>53</v>
      </c>
      <c r="B226" s="44"/>
      <c r="C226" s="45">
        <f t="shared" ref="C226:K226" si="8">IFERROR(ROUND(AVERAGE(C202:C225), 2), "")</f>
        <v>5.53</v>
      </c>
      <c r="D226" s="45">
        <f t="shared" si="8"/>
        <v>70.77</v>
      </c>
      <c r="E226" s="45">
        <f t="shared" si="8"/>
        <v>1.1499999999999999</v>
      </c>
      <c r="F226" s="45">
        <f t="shared" si="8"/>
        <v>4.93</v>
      </c>
      <c r="G226" s="45">
        <f t="shared" si="8"/>
        <v>17.38</v>
      </c>
      <c r="H226" s="45">
        <f t="shared" si="8"/>
        <v>14.17</v>
      </c>
      <c r="I226" s="45">
        <f t="shared" si="8"/>
        <v>37.04</v>
      </c>
      <c r="J226" s="45">
        <f t="shared" si="8"/>
        <v>929.44</v>
      </c>
      <c r="K226" s="46">
        <f t="shared" si="8"/>
        <v>931869.56</v>
      </c>
      <c r="L226" s="7"/>
    </row>
    <row r="227" spans="1:12" x14ac:dyDescent="0.25">
      <c r="A227" s="57">
        <v>46063</v>
      </c>
      <c r="B227" s="14">
        <v>0</v>
      </c>
      <c r="C227" s="16">
        <v>6.16</v>
      </c>
      <c r="D227" s="16">
        <v>72.77</v>
      </c>
      <c r="E227" s="16">
        <v>0.72</v>
      </c>
      <c r="F227" s="16">
        <v>6.28</v>
      </c>
      <c r="G227" s="16">
        <v>17.309999999999999</v>
      </c>
      <c r="H227" s="16">
        <v>14.33</v>
      </c>
      <c r="I227" s="16">
        <v>39.46</v>
      </c>
      <c r="J227" s="16">
        <v>926.83</v>
      </c>
      <c r="K227" s="31">
        <v>902180.08000000007</v>
      </c>
      <c r="L227" s="2"/>
    </row>
    <row r="228" spans="1:12" x14ac:dyDescent="0.25">
      <c r="A228" s="58">
        <v>46063</v>
      </c>
      <c r="B228" s="18">
        <v>4.1666666666666664E-2</v>
      </c>
      <c r="C228" s="20">
        <v>6.5</v>
      </c>
      <c r="D228" s="20">
        <v>73.73</v>
      </c>
      <c r="E228" s="20">
        <v>0.89</v>
      </c>
      <c r="F228" s="20">
        <v>3.02</v>
      </c>
      <c r="G228" s="20">
        <v>17.29</v>
      </c>
      <c r="H228" s="20">
        <v>14.36</v>
      </c>
      <c r="I228" s="20">
        <v>40.01</v>
      </c>
      <c r="J228" s="20">
        <v>926.32</v>
      </c>
      <c r="K228" s="32">
        <v>906721.55</v>
      </c>
      <c r="L228" s="2"/>
    </row>
    <row r="229" spans="1:12" x14ac:dyDescent="0.25">
      <c r="A229" s="58">
        <v>46063</v>
      </c>
      <c r="B229" s="18">
        <v>8.3333333333333329E-2</v>
      </c>
      <c r="C229" s="20">
        <v>6.09</v>
      </c>
      <c r="D229" s="20">
        <v>73.540000000000006</v>
      </c>
      <c r="E229" s="20">
        <v>0.66</v>
      </c>
      <c r="F229" s="20">
        <v>3.99</v>
      </c>
      <c r="G229" s="20">
        <v>17.32</v>
      </c>
      <c r="H229" s="20">
        <v>14.37</v>
      </c>
      <c r="I229" s="20">
        <v>40.119999999999997</v>
      </c>
      <c r="J229" s="20">
        <v>925.65</v>
      </c>
      <c r="K229" s="32">
        <v>906969.90999999992</v>
      </c>
      <c r="L229" s="2"/>
    </row>
    <row r="230" spans="1:12" x14ac:dyDescent="0.25">
      <c r="A230" s="58">
        <v>46063</v>
      </c>
      <c r="B230" s="18">
        <v>0.125</v>
      </c>
      <c r="C230" s="20">
        <v>5.53</v>
      </c>
      <c r="D230" s="20">
        <v>73.319999999999993</v>
      </c>
      <c r="E230" s="20">
        <v>0.84</v>
      </c>
      <c r="F230" s="20">
        <v>4.34</v>
      </c>
      <c r="G230" s="20">
        <v>17.329999999999998</v>
      </c>
      <c r="H230" s="20">
        <v>14.37</v>
      </c>
      <c r="I230" s="20">
        <v>39.840000000000003</v>
      </c>
      <c r="J230" s="20">
        <v>925.15</v>
      </c>
      <c r="K230" s="32">
        <v>915382.8</v>
      </c>
      <c r="L230" s="2"/>
    </row>
    <row r="231" spans="1:12" x14ac:dyDescent="0.25">
      <c r="A231" s="58">
        <v>46063</v>
      </c>
      <c r="B231" s="18">
        <v>0.16666666666666666</v>
      </c>
      <c r="C231" s="20">
        <v>5.27</v>
      </c>
      <c r="D231" s="20">
        <v>73.36</v>
      </c>
      <c r="E231" s="20">
        <v>1.22</v>
      </c>
      <c r="F231" s="20">
        <v>4.25</v>
      </c>
      <c r="G231" s="20">
        <v>17.32</v>
      </c>
      <c r="H231" s="20">
        <v>14.37</v>
      </c>
      <c r="I231" s="20">
        <v>39.82</v>
      </c>
      <c r="J231" s="20">
        <v>924.94</v>
      </c>
      <c r="K231" s="32">
        <v>907288.09000000008</v>
      </c>
      <c r="L231" s="2"/>
    </row>
    <row r="232" spans="1:12" x14ac:dyDescent="0.25">
      <c r="A232" s="58">
        <v>46063</v>
      </c>
      <c r="B232" s="18">
        <v>0.20833333333333334</v>
      </c>
      <c r="C232" s="20">
        <v>5.78</v>
      </c>
      <c r="D232" s="20">
        <v>73.27</v>
      </c>
      <c r="E232" s="20">
        <v>1.04</v>
      </c>
      <c r="F232" s="20">
        <v>4.58</v>
      </c>
      <c r="G232" s="20">
        <v>17.32</v>
      </c>
      <c r="H232" s="20">
        <v>14.38</v>
      </c>
      <c r="I232" s="20">
        <v>39.94</v>
      </c>
      <c r="J232" s="20">
        <v>924.66</v>
      </c>
      <c r="K232" s="32">
        <v>910941.99</v>
      </c>
      <c r="L232" s="2"/>
    </row>
    <row r="233" spans="1:12" x14ac:dyDescent="0.25">
      <c r="A233" s="58">
        <v>46063</v>
      </c>
      <c r="B233" s="18">
        <v>0.25</v>
      </c>
      <c r="C233" s="20">
        <v>5.76</v>
      </c>
      <c r="D233" s="20">
        <v>72.75</v>
      </c>
      <c r="E233" s="20">
        <v>1.38</v>
      </c>
      <c r="F233" s="20">
        <v>7.47</v>
      </c>
      <c r="G233" s="20">
        <v>17.34</v>
      </c>
      <c r="H233" s="20">
        <v>14.38</v>
      </c>
      <c r="I233" s="20">
        <v>39.83</v>
      </c>
      <c r="J233" s="20">
        <v>924.51</v>
      </c>
      <c r="K233" s="32">
        <v>912059.17999999993</v>
      </c>
      <c r="L233" s="2"/>
    </row>
    <row r="234" spans="1:12" x14ac:dyDescent="0.25">
      <c r="A234" s="58">
        <v>46063</v>
      </c>
      <c r="B234" s="18">
        <v>0.29166666666666669</v>
      </c>
      <c r="C234" s="20">
        <v>5.92</v>
      </c>
      <c r="D234" s="20">
        <v>72.16</v>
      </c>
      <c r="E234" s="20">
        <v>1.31</v>
      </c>
      <c r="F234" s="20">
        <v>8.82</v>
      </c>
      <c r="G234" s="20">
        <v>17.34</v>
      </c>
      <c r="H234" s="20">
        <v>14.38</v>
      </c>
      <c r="I234" s="20">
        <v>39.89</v>
      </c>
      <c r="J234" s="20">
        <v>924.7</v>
      </c>
      <c r="K234" s="32">
        <v>915092.47</v>
      </c>
      <c r="L234" s="2"/>
    </row>
    <row r="235" spans="1:12" x14ac:dyDescent="0.25">
      <c r="A235" s="58">
        <v>46063</v>
      </c>
      <c r="B235" s="18">
        <v>0.33333333333333331</v>
      </c>
      <c r="C235" s="20">
        <v>5.29</v>
      </c>
      <c r="D235" s="20">
        <v>71.91</v>
      </c>
      <c r="E235" s="20">
        <v>1.26</v>
      </c>
      <c r="F235" s="20">
        <v>9.4499999999999993</v>
      </c>
      <c r="G235" s="20">
        <v>17.34</v>
      </c>
      <c r="H235" s="20">
        <v>14.36</v>
      </c>
      <c r="I235" s="20">
        <v>39.49</v>
      </c>
      <c r="J235" s="20">
        <v>924.74</v>
      </c>
      <c r="K235" s="32">
        <v>924236.3899999999</v>
      </c>
      <c r="L235" s="2"/>
    </row>
    <row r="236" spans="1:12" x14ac:dyDescent="0.25">
      <c r="A236" s="58">
        <v>46063</v>
      </c>
      <c r="B236" s="18">
        <v>0.375</v>
      </c>
      <c r="C236" s="20">
        <v>6.26</v>
      </c>
      <c r="D236" s="20">
        <v>71.44</v>
      </c>
      <c r="E236" s="20">
        <v>1.93</v>
      </c>
      <c r="F236" s="20">
        <v>10.01</v>
      </c>
      <c r="G236" s="20">
        <v>17.350000000000001</v>
      </c>
      <c r="H236" s="20">
        <v>14.35</v>
      </c>
      <c r="I236" s="20">
        <v>39.31</v>
      </c>
      <c r="J236" s="20">
        <v>924.66</v>
      </c>
      <c r="K236" s="32">
        <v>931755.77</v>
      </c>
      <c r="L236" s="2"/>
    </row>
    <row r="237" spans="1:12" x14ac:dyDescent="0.25">
      <c r="A237" s="58">
        <v>46063</v>
      </c>
      <c r="B237" s="18">
        <v>0.41666666666666669</v>
      </c>
      <c r="C237" s="20">
        <v>5.89</v>
      </c>
      <c r="D237" s="20">
        <v>71.84</v>
      </c>
      <c r="E237" s="20">
        <v>1.89</v>
      </c>
      <c r="F237" s="20">
        <v>10.14</v>
      </c>
      <c r="G237" s="20">
        <v>17.37</v>
      </c>
      <c r="H237" s="20">
        <v>14.37</v>
      </c>
      <c r="I237" s="20">
        <v>39.74</v>
      </c>
      <c r="J237" s="20">
        <v>925.07</v>
      </c>
      <c r="K237" s="32">
        <v>933398.17999999993</v>
      </c>
      <c r="L237" s="2"/>
    </row>
    <row r="238" spans="1:12" x14ac:dyDescent="0.25">
      <c r="A238" s="58">
        <v>46063</v>
      </c>
      <c r="B238" s="18">
        <v>0.45833333333333331</v>
      </c>
      <c r="C238" s="20">
        <v>6.63</v>
      </c>
      <c r="D238" s="20">
        <v>72.13</v>
      </c>
      <c r="E238" s="20">
        <v>2.15</v>
      </c>
      <c r="F238" s="20">
        <v>9.65</v>
      </c>
      <c r="G238" s="20">
        <v>17.38</v>
      </c>
      <c r="H238" s="20">
        <v>14.39</v>
      </c>
      <c r="I238" s="20">
        <v>40.06</v>
      </c>
      <c r="J238" s="20">
        <v>924.45</v>
      </c>
      <c r="K238" s="32">
        <v>929339.91999999993</v>
      </c>
      <c r="L238" s="2"/>
    </row>
    <row r="239" spans="1:12" x14ac:dyDescent="0.25">
      <c r="A239" s="58">
        <v>46063</v>
      </c>
      <c r="B239" s="18">
        <v>0.5</v>
      </c>
      <c r="C239" s="20">
        <v>4.82</v>
      </c>
      <c r="D239" s="20">
        <v>71.739999999999995</v>
      </c>
      <c r="E239" s="20">
        <v>2.48</v>
      </c>
      <c r="F239" s="20">
        <v>12.56</v>
      </c>
      <c r="G239" s="20">
        <v>17.36</v>
      </c>
      <c r="H239" s="20">
        <v>14.41</v>
      </c>
      <c r="I239" s="20">
        <v>40.270000000000003</v>
      </c>
      <c r="J239" s="20">
        <v>924.12</v>
      </c>
      <c r="K239" s="32">
        <v>934128.73</v>
      </c>
      <c r="L239" s="2"/>
    </row>
    <row r="240" spans="1:12" x14ac:dyDescent="0.25">
      <c r="A240" s="58">
        <v>46063</v>
      </c>
      <c r="B240" s="18">
        <v>0.54166666666666663</v>
      </c>
      <c r="C240" s="20">
        <v>3.98</v>
      </c>
      <c r="D240" s="20">
        <v>70.97</v>
      </c>
      <c r="E240" s="20">
        <v>2.72</v>
      </c>
      <c r="F240" s="20">
        <v>12.78</v>
      </c>
      <c r="G240" s="20">
        <v>17.350000000000001</v>
      </c>
      <c r="H240" s="20">
        <v>14.44</v>
      </c>
      <c r="I240" s="20">
        <v>40.67</v>
      </c>
      <c r="J240" s="20">
        <v>923.34</v>
      </c>
      <c r="K240" s="32">
        <v>925046.25</v>
      </c>
      <c r="L240" s="2"/>
    </row>
    <row r="241" spans="1:12" x14ac:dyDescent="0.25">
      <c r="A241" s="58">
        <v>46063</v>
      </c>
      <c r="B241" s="18">
        <v>0.58333333333333337</v>
      </c>
      <c r="C241" s="20">
        <v>4.63</v>
      </c>
      <c r="D241" s="20">
        <v>71.28</v>
      </c>
      <c r="E241" s="20">
        <v>2.8</v>
      </c>
      <c r="F241" s="20">
        <v>13.17</v>
      </c>
      <c r="G241" s="20">
        <v>17.350000000000001</v>
      </c>
      <c r="H241" s="20">
        <v>14.44</v>
      </c>
      <c r="I241" s="20">
        <v>40.65</v>
      </c>
      <c r="J241" s="20">
        <v>923.37</v>
      </c>
      <c r="K241" s="32">
        <v>916782.54</v>
      </c>
      <c r="L241" s="2"/>
    </row>
    <row r="242" spans="1:12" x14ac:dyDescent="0.25">
      <c r="A242" s="58">
        <v>46063</v>
      </c>
      <c r="B242" s="18">
        <v>0.625</v>
      </c>
      <c r="C242" s="20">
        <v>4.5199999999999996</v>
      </c>
      <c r="D242" s="20">
        <v>71.38</v>
      </c>
      <c r="E242" s="20">
        <v>1.93</v>
      </c>
      <c r="F242" s="20">
        <v>16.010000000000002</v>
      </c>
      <c r="G242" s="20">
        <v>17.36</v>
      </c>
      <c r="H242" s="20">
        <v>14.43</v>
      </c>
      <c r="I242" s="20">
        <v>40.520000000000003</v>
      </c>
      <c r="J242" s="20">
        <v>923.56</v>
      </c>
      <c r="K242" s="32">
        <v>927644.45</v>
      </c>
      <c r="L242" s="2"/>
    </row>
    <row r="243" spans="1:12" x14ac:dyDescent="0.25">
      <c r="A243" s="58">
        <v>46063</v>
      </c>
      <c r="B243" s="18">
        <v>0.66666666666666663</v>
      </c>
      <c r="C243" s="20">
        <v>6.15</v>
      </c>
      <c r="D243" s="20">
        <v>71.459999999999994</v>
      </c>
      <c r="E243" s="20">
        <v>1.0900000000000001</v>
      </c>
      <c r="F243" s="20">
        <v>14.62</v>
      </c>
      <c r="G243" s="20">
        <v>17.37</v>
      </c>
      <c r="H243" s="20">
        <v>14.44</v>
      </c>
      <c r="I243" s="20">
        <v>40.590000000000003</v>
      </c>
      <c r="J243" s="20">
        <v>923.19</v>
      </c>
      <c r="K243" s="32">
        <v>927219.08000000007</v>
      </c>
      <c r="L243" s="2"/>
    </row>
    <row r="244" spans="1:12" x14ac:dyDescent="0.25">
      <c r="A244" s="58">
        <v>46063</v>
      </c>
      <c r="B244" s="18">
        <v>0.70833333333333337</v>
      </c>
      <c r="C244" s="20">
        <v>5.34</v>
      </c>
      <c r="D244" s="20">
        <v>70.45</v>
      </c>
      <c r="E244" s="20">
        <v>1.64</v>
      </c>
      <c r="F244" s="20">
        <v>15.85</v>
      </c>
      <c r="G244" s="20">
        <v>17.37</v>
      </c>
      <c r="H244" s="20">
        <v>14.46</v>
      </c>
      <c r="I244" s="20">
        <v>40.94</v>
      </c>
      <c r="J244" s="20">
        <v>922.99</v>
      </c>
      <c r="K244" s="32">
        <v>944751.37000000011</v>
      </c>
      <c r="L244" s="2"/>
    </row>
    <row r="245" spans="1:12" x14ac:dyDescent="0.25">
      <c r="A245" s="58">
        <v>46063</v>
      </c>
      <c r="B245" s="18">
        <v>0.75</v>
      </c>
      <c r="C245" s="20">
        <v>6.01</v>
      </c>
      <c r="D245" s="20">
        <v>70.260000000000005</v>
      </c>
      <c r="E245" s="20">
        <v>2.04</v>
      </c>
      <c r="F245" s="20">
        <v>15.14</v>
      </c>
      <c r="G245" s="20">
        <v>17.41</v>
      </c>
      <c r="H245" s="20">
        <v>14.42</v>
      </c>
      <c r="I245" s="20">
        <v>40.369999999999997</v>
      </c>
      <c r="J245" s="20">
        <v>923.49</v>
      </c>
      <c r="K245" s="32">
        <v>960330.3600000001</v>
      </c>
      <c r="L245" s="2"/>
    </row>
    <row r="246" spans="1:12" x14ac:dyDescent="0.25">
      <c r="A246" s="58">
        <v>46063</v>
      </c>
      <c r="B246" s="18">
        <v>0.79166666666666663</v>
      </c>
      <c r="C246" s="20">
        <v>5.96</v>
      </c>
      <c r="D246" s="20">
        <v>71.61</v>
      </c>
      <c r="E246" s="20">
        <v>2.65</v>
      </c>
      <c r="F246" s="20">
        <v>8.23</v>
      </c>
      <c r="G246" s="20">
        <v>17.41</v>
      </c>
      <c r="H246" s="20">
        <v>14.41</v>
      </c>
      <c r="I246" s="20">
        <v>40.020000000000003</v>
      </c>
      <c r="J246" s="20">
        <v>923.28</v>
      </c>
      <c r="K246" s="32">
        <v>976572.95</v>
      </c>
      <c r="L246" s="2"/>
    </row>
    <row r="247" spans="1:12" x14ac:dyDescent="0.25">
      <c r="A247" s="58">
        <v>46063</v>
      </c>
      <c r="B247" s="18">
        <v>0.83333333333333337</v>
      </c>
      <c r="C247" s="20">
        <v>5.84</v>
      </c>
      <c r="D247" s="20">
        <v>70.52</v>
      </c>
      <c r="E247" s="20">
        <v>2.3199999999999998</v>
      </c>
      <c r="F247" s="20">
        <v>7.01</v>
      </c>
      <c r="G247" s="20">
        <v>17.399999999999999</v>
      </c>
      <c r="H247" s="20">
        <v>14.4</v>
      </c>
      <c r="I247" s="20">
        <v>39.840000000000003</v>
      </c>
      <c r="J247" s="20">
        <v>923.16</v>
      </c>
      <c r="K247" s="32">
        <v>971477.42999999993</v>
      </c>
      <c r="L247" s="2"/>
    </row>
    <row r="248" spans="1:12" x14ac:dyDescent="0.25">
      <c r="A248" s="58">
        <v>46063</v>
      </c>
      <c r="B248" s="18">
        <v>0.875</v>
      </c>
      <c r="C248" s="20">
        <v>6.3</v>
      </c>
      <c r="D248" s="20">
        <v>72.13</v>
      </c>
      <c r="E248" s="20">
        <v>2.25</v>
      </c>
      <c r="F248" s="20">
        <v>7.09</v>
      </c>
      <c r="G248" s="20">
        <v>17.399999999999999</v>
      </c>
      <c r="H248" s="20">
        <v>14.39</v>
      </c>
      <c r="I248" s="20">
        <v>39.729999999999997</v>
      </c>
      <c r="J248" s="20">
        <v>923.6</v>
      </c>
      <c r="K248" s="32">
        <v>976164.78</v>
      </c>
      <c r="L248" s="2"/>
    </row>
    <row r="249" spans="1:12" x14ac:dyDescent="0.25">
      <c r="A249" s="58">
        <v>46063</v>
      </c>
      <c r="B249" s="18">
        <v>0.91666666666666663</v>
      </c>
      <c r="C249" s="20">
        <v>7.44</v>
      </c>
      <c r="D249" s="20">
        <v>72.12</v>
      </c>
      <c r="E249" s="20">
        <v>2.11</v>
      </c>
      <c r="F249" s="20">
        <v>5.71</v>
      </c>
      <c r="G249" s="20">
        <v>17.39</v>
      </c>
      <c r="H249" s="20">
        <v>14.37</v>
      </c>
      <c r="I249" s="20">
        <v>39.44</v>
      </c>
      <c r="J249" s="20">
        <v>923.73</v>
      </c>
      <c r="K249" s="32">
        <v>991675.84000000008</v>
      </c>
      <c r="L249" s="2"/>
    </row>
    <row r="250" spans="1:12" ht="15.75" thickBot="1" x14ac:dyDescent="0.3">
      <c r="A250" s="60">
        <v>46063</v>
      </c>
      <c r="B250" s="35">
        <v>0.95833333333333337</v>
      </c>
      <c r="C250" s="24">
        <v>5.49</v>
      </c>
      <c r="D250" s="24">
        <v>70.95</v>
      </c>
      <c r="E250" s="24">
        <v>2.29</v>
      </c>
      <c r="F250" s="24">
        <v>7.1</v>
      </c>
      <c r="G250" s="24">
        <v>17.38</v>
      </c>
      <c r="H250" s="24">
        <v>14.36</v>
      </c>
      <c r="I250" s="24">
        <v>39.29</v>
      </c>
      <c r="J250" s="24">
        <v>924.01</v>
      </c>
      <c r="K250" s="36">
        <v>1009757.3500000001</v>
      </c>
      <c r="L250" s="2"/>
    </row>
    <row r="251" spans="1:12" ht="15.75" thickBot="1" x14ac:dyDescent="0.3">
      <c r="A251" s="26" t="s">
        <v>54</v>
      </c>
      <c r="B251" s="44"/>
      <c r="C251" s="45">
        <f t="shared" ref="C251:K251" si="9">IFERROR(ROUND(AVERAGE(C227:C250), 2), "")</f>
        <v>5.73</v>
      </c>
      <c r="D251" s="45">
        <f t="shared" si="9"/>
        <v>71.959999999999994</v>
      </c>
      <c r="E251" s="45">
        <f t="shared" si="9"/>
        <v>1.73</v>
      </c>
      <c r="F251" s="45">
        <f t="shared" si="9"/>
        <v>9.0500000000000007</v>
      </c>
      <c r="G251" s="45">
        <f t="shared" si="9"/>
        <v>17.36</v>
      </c>
      <c r="H251" s="45">
        <f t="shared" si="9"/>
        <v>14.39</v>
      </c>
      <c r="I251" s="45">
        <f t="shared" si="9"/>
        <v>39.99</v>
      </c>
      <c r="J251" s="45">
        <f t="shared" si="9"/>
        <v>924.31</v>
      </c>
      <c r="K251" s="46">
        <f t="shared" si="9"/>
        <v>935704.89</v>
      </c>
      <c r="L251" s="7"/>
    </row>
    <row r="252" spans="1:12" x14ac:dyDescent="0.25">
      <c r="A252" s="57">
        <v>46064</v>
      </c>
      <c r="B252" s="14">
        <v>0</v>
      </c>
      <c r="C252" s="16">
        <v>6.21</v>
      </c>
      <c r="D252" s="16">
        <v>71.849999999999994</v>
      </c>
      <c r="E252" s="16">
        <v>2.11</v>
      </c>
      <c r="F252" s="16">
        <v>5.7</v>
      </c>
      <c r="G252" s="16">
        <v>17.399999999999999</v>
      </c>
      <c r="H252" s="16">
        <v>14.33</v>
      </c>
      <c r="I252" s="16">
        <v>38.85</v>
      </c>
      <c r="J252" s="16">
        <v>924.65</v>
      </c>
      <c r="K252" s="31">
        <v>1023622.56</v>
      </c>
      <c r="L252" s="2"/>
    </row>
    <row r="253" spans="1:12" x14ac:dyDescent="0.25">
      <c r="A253" s="58">
        <v>46064</v>
      </c>
      <c r="B253" s="18">
        <v>4.1666666666666664E-2</v>
      </c>
      <c r="C253" s="20">
        <v>5.66</v>
      </c>
      <c r="D253" s="20">
        <v>71.900000000000006</v>
      </c>
      <c r="E253" s="20">
        <v>2.21</v>
      </c>
      <c r="F253" s="20">
        <v>4.9800000000000004</v>
      </c>
      <c r="G253" s="20">
        <v>17.38</v>
      </c>
      <c r="H253" s="20">
        <v>14.29</v>
      </c>
      <c r="I253" s="20">
        <v>38.03</v>
      </c>
      <c r="J253" s="20">
        <v>925.07</v>
      </c>
      <c r="K253" s="32">
        <v>1015986.69</v>
      </c>
      <c r="L253" s="2"/>
    </row>
    <row r="254" spans="1:12" x14ac:dyDescent="0.25">
      <c r="A254" s="58">
        <v>46064</v>
      </c>
      <c r="B254" s="18">
        <v>8.3333333333333329E-2</v>
      </c>
      <c r="C254" s="20">
        <v>5.37</v>
      </c>
      <c r="D254" s="20">
        <v>73</v>
      </c>
      <c r="E254" s="20">
        <v>2.56</v>
      </c>
      <c r="F254" s="20">
        <v>3.88</v>
      </c>
      <c r="G254" s="20">
        <v>17.36</v>
      </c>
      <c r="H254" s="20">
        <v>14.25</v>
      </c>
      <c r="I254" s="20">
        <v>37.58</v>
      </c>
      <c r="J254" s="20">
        <v>926.13</v>
      </c>
      <c r="K254" s="32">
        <v>1023158.26</v>
      </c>
      <c r="L254" s="2"/>
    </row>
    <row r="255" spans="1:12" x14ac:dyDescent="0.25">
      <c r="A255" s="58">
        <v>46064</v>
      </c>
      <c r="B255" s="18">
        <v>0.125</v>
      </c>
      <c r="C255" s="20">
        <v>7.56</v>
      </c>
      <c r="D255" s="20">
        <v>73.400000000000006</v>
      </c>
      <c r="E255" s="20">
        <v>2.81</v>
      </c>
      <c r="F255" s="20">
        <v>3.83</v>
      </c>
      <c r="G255" s="20">
        <v>17.420000000000002</v>
      </c>
      <c r="H255" s="20">
        <v>14.2</v>
      </c>
      <c r="I255" s="20">
        <v>36.92</v>
      </c>
      <c r="J255" s="20">
        <v>927.37</v>
      </c>
      <c r="K255" s="32">
        <v>993853.28</v>
      </c>
      <c r="L255" s="2"/>
    </row>
    <row r="256" spans="1:12" x14ac:dyDescent="0.25">
      <c r="A256" s="58">
        <v>46064</v>
      </c>
      <c r="B256" s="18">
        <v>0.16666666666666666</v>
      </c>
      <c r="C256" s="20">
        <v>6.42</v>
      </c>
      <c r="D256" s="20">
        <v>74.63</v>
      </c>
      <c r="E256" s="20">
        <v>2.56</v>
      </c>
      <c r="F256" s="20">
        <v>1.63</v>
      </c>
      <c r="G256" s="20">
        <v>17.420000000000002</v>
      </c>
      <c r="H256" s="20">
        <v>14.17</v>
      </c>
      <c r="I256" s="20">
        <v>36.39</v>
      </c>
      <c r="J256" s="20">
        <v>928.16</v>
      </c>
      <c r="K256" s="32">
        <v>1004191.4299999999</v>
      </c>
      <c r="L256" s="2"/>
    </row>
    <row r="257" spans="1:12" x14ac:dyDescent="0.25">
      <c r="A257" s="58">
        <v>46064</v>
      </c>
      <c r="B257" s="18">
        <v>0.20833333333333334</v>
      </c>
      <c r="C257" s="20">
        <v>5.9</v>
      </c>
      <c r="D257" s="20">
        <v>75.400000000000006</v>
      </c>
      <c r="E257" s="20">
        <v>2.46</v>
      </c>
      <c r="F257" s="20">
        <v>0.98</v>
      </c>
      <c r="G257" s="20">
        <v>17.45</v>
      </c>
      <c r="H257" s="20">
        <v>14.12</v>
      </c>
      <c r="I257" s="20">
        <v>35.76</v>
      </c>
      <c r="J257" s="20">
        <v>929.03</v>
      </c>
      <c r="K257" s="32">
        <v>1016194.8200000001</v>
      </c>
      <c r="L257" s="2"/>
    </row>
    <row r="258" spans="1:12" x14ac:dyDescent="0.25">
      <c r="A258" s="58">
        <v>46064</v>
      </c>
      <c r="B258" s="18">
        <v>0.25</v>
      </c>
      <c r="C258" s="20">
        <v>5.31</v>
      </c>
      <c r="D258" s="20">
        <v>74.98</v>
      </c>
      <c r="E258" s="20">
        <v>2.09</v>
      </c>
      <c r="F258" s="20">
        <v>1.03</v>
      </c>
      <c r="G258" s="20">
        <v>17.46</v>
      </c>
      <c r="H258" s="20">
        <v>14.09</v>
      </c>
      <c r="I258" s="20">
        <v>35.4</v>
      </c>
      <c r="J258" s="20">
        <v>929.87</v>
      </c>
      <c r="K258" s="32">
        <v>1025137.97</v>
      </c>
      <c r="L258" s="2"/>
    </row>
    <row r="259" spans="1:12" x14ac:dyDescent="0.25">
      <c r="A259" s="58">
        <v>46064</v>
      </c>
      <c r="B259" s="18">
        <v>0.29166666666666669</v>
      </c>
      <c r="C259" s="20">
        <v>5.36</v>
      </c>
      <c r="D259" s="20">
        <v>74.67</v>
      </c>
      <c r="E259" s="20">
        <v>1.81</v>
      </c>
      <c r="F259" s="20">
        <v>1</v>
      </c>
      <c r="G259" s="20">
        <v>17.47</v>
      </c>
      <c r="H259" s="20">
        <v>14.06</v>
      </c>
      <c r="I259" s="20">
        <v>34.96</v>
      </c>
      <c r="J259" s="20">
        <v>930.94</v>
      </c>
      <c r="K259" s="32">
        <v>1002851.53</v>
      </c>
      <c r="L259" s="2"/>
    </row>
    <row r="260" spans="1:12" x14ac:dyDescent="0.25">
      <c r="A260" s="58">
        <v>46064</v>
      </c>
      <c r="B260" s="18">
        <v>0.33333333333333331</v>
      </c>
      <c r="C260" s="20">
        <v>6.57</v>
      </c>
      <c r="D260" s="20">
        <v>74.849999999999994</v>
      </c>
      <c r="E260" s="20">
        <v>2.4500000000000002</v>
      </c>
      <c r="F260" s="20">
        <v>0.92</v>
      </c>
      <c r="G260" s="20">
        <v>17.5</v>
      </c>
      <c r="H260" s="20">
        <v>14.02</v>
      </c>
      <c r="I260" s="20">
        <v>34.56</v>
      </c>
      <c r="J260" s="20">
        <v>932.14</v>
      </c>
      <c r="K260" s="32">
        <v>1005245.51</v>
      </c>
      <c r="L260" s="2"/>
    </row>
    <row r="261" spans="1:12" x14ac:dyDescent="0.25">
      <c r="A261" s="58">
        <v>46064</v>
      </c>
      <c r="B261" s="18">
        <v>0.375</v>
      </c>
      <c r="C261" s="20">
        <v>7.16</v>
      </c>
      <c r="D261" s="20">
        <v>74.8</v>
      </c>
      <c r="E261" s="20">
        <v>2.7</v>
      </c>
      <c r="F261" s="20">
        <v>0.56999999999999995</v>
      </c>
      <c r="G261" s="20">
        <v>17.489999999999998</v>
      </c>
      <c r="H261" s="20">
        <v>13.99</v>
      </c>
      <c r="I261" s="20">
        <v>34.200000000000003</v>
      </c>
      <c r="J261" s="20">
        <v>933.16</v>
      </c>
      <c r="K261" s="32">
        <v>1010928.22</v>
      </c>
      <c r="L261" s="2"/>
    </row>
    <row r="262" spans="1:12" x14ac:dyDescent="0.25">
      <c r="A262" s="58">
        <v>46064</v>
      </c>
      <c r="B262" s="18">
        <v>0.41666666666666669</v>
      </c>
      <c r="C262" s="20">
        <v>6.85</v>
      </c>
      <c r="D262" s="20">
        <v>74.989999999999995</v>
      </c>
      <c r="E262" s="20">
        <v>2.2999999999999998</v>
      </c>
      <c r="F262" s="20">
        <v>0.4</v>
      </c>
      <c r="G262" s="20">
        <v>17.48</v>
      </c>
      <c r="H262" s="20">
        <v>13.97</v>
      </c>
      <c r="I262" s="20">
        <v>34.130000000000003</v>
      </c>
      <c r="J262" s="20">
        <v>934.21</v>
      </c>
      <c r="K262" s="32">
        <v>1009168.77</v>
      </c>
      <c r="L262" s="2"/>
    </row>
    <row r="263" spans="1:12" x14ac:dyDescent="0.25">
      <c r="A263" s="58">
        <v>46064</v>
      </c>
      <c r="B263" s="18">
        <v>0.45833333333333331</v>
      </c>
      <c r="C263" s="20">
        <v>6.32</v>
      </c>
      <c r="D263" s="20">
        <v>73.77</v>
      </c>
      <c r="E263" s="20">
        <v>2.1800000000000002</v>
      </c>
      <c r="F263" s="20">
        <v>0.19</v>
      </c>
      <c r="G263" s="20">
        <v>17.46</v>
      </c>
      <c r="H263" s="20">
        <v>13.96</v>
      </c>
      <c r="I263" s="20">
        <v>34.19</v>
      </c>
      <c r="J263" s="20">
        <v>934.76</v>
      </c>
      <c r="K263" s="32">
        <v>982678.44</v>
      </c>
      <c r="L263" s="2"/>
    </row>
    <row r="264" spans="1:12" x14ac:dyDescent="0.25">
      <c r="A264" s="58">
        <v>46064</v>
      </c>
      <c r="B264" s="18">
        <v>0.5</v>
      </c>
      <c r="C264" s="20">
        <v>6.23</v>
      </c>
      <c r="D264" s="20">
        <v>73.38</v>
      </c>
      <c r="E264" s="20">
        <v>1.88</v>
      </c>
      <c r="F264" s="20">
        <v>0.28999999999999998</v>
      </c>
      <c r="G264" s="20">
        <v>17.45</v>
      </c>
      <c r="H264" s="20">
        <v>13.96</v>
      </c>
      <c r="I264" s="20">
        <v>34.24</v>
      </c>
      <c r="J264" s="20">
        <v>934.82</v>
      </c>
      <c r="K264" s="32">
        <v>991691.94</v>
      </c>
      <c r="L264" s="2"/>
    </row>
    <row r="265" spans="1:12" x14ac:dyDescent="0.25">
      <c r="A265" s="58">
        <v>46064</v>
      </c>
      <c r="B265" s="18">
        <v>0.54166666666666663</v>
      </c>
      <c r="C265" s="20">
        <v>6.64</v>
      </c>
      <c r="D265" s="20">
        <v>73.53</v>
      </c>
      <c r="E265" s="20">
        <v>2.59</v>
      </c>
      <c r="F265" s="20">
        <v>0.09</v>
      </c>
      <c r="G265" s="20">
        <v>17.45</v>
      </c>
      <c r="H265" s="20">
        <v>13.96</v>
      </c>
      <c r="I265" s="20">
        <v>34.33</v>
      </c>
      <c r="J265" s="20">
        <v>935.17</v>
      </c>
      <c r="K265" s="32">
        <v>982658.33000000007</v>
      </c>
      <c r="L265" s="2"/>
    </row>
    <row r="266" spans="1:12" x14ac:dyDescent="0.25">
      <c r="A266" s="58">
        <v>46064</v>
      </c>
      <c r="B266" s="18">
        <v>0.58333333333333337</v>
      </c>
      <c r="C266" s="20">
        <v>6.84</v>
      </c>
      <c r="D266" s="20">
        <v>73.180000000000007</v>
      </c>
      <c r="E266" s="20">
        <v>2.04</v>
      </c>
      <c r="F266" s="20">
        <v>0.14000000000000001</v>
      </c>
      <c r="G266" s="20">
        <v>17.420000000000002</v>
      </c>
      <c r="H266" s="20">
        <v>13.96</v>
      </c>
      <c r="I266" s="20">
        <v>34.479999999999997</v>
      </c>
      <c r="J266" s="20">
        <v>935.49</v>
      </c>
      <c r="K266" s="32">
        <v>969049.94</v>
      </c>
      <c r="L266" s="2"/>
    </row>
    <row r="267" spans="1:12" x14ac:dyDescent="0.25">
      <c r="A267" s="58">
        <v>46064</v>
      </c>
      <c r="B267" s="18">
        <v>0.625</v>
      </c>
      <c r="C267" s="20">
        <v>6.42</v>
      </c>
      <c r="D267" s="20">
        <v>73.02</v>
      </c>
      <c r="E267" s="20">
        <v>2.02</v>
      </c>
      <c r="F267" s="20">
        <v>0.24</v>
      </c>
      <c r="G267" s="20">
        <v>17.420000000000002</v>
      </c>
      <c r="H267" s="20">
        <v>13.96</v>
      </c>
      <c r="I267" s="20">
        <v>34.58</v>
      </c>
      <c r="J267" s="20">
        <v>936.05</v>
      </c>
      <c r="K267" s="32">
        <v>972619.12000000011</v>
      </c>
      <c r="L267" s="2"/>
    </row>
    <row r="268" spans="1:12" x14ac:dyDescent="0.25">
      <c r="A268" s="58">
        <v>46064</v>
      </c>
      <c r="B268" s="18">
        <v>0.66666666666666663</v>
      </c>
      <c r="C268" s="20">
        <v>5.79</v>
      </c>
      <c r="D268" s="20">
        <v>73.150000000000006</v>
      </c>
      <c r="E268" s="20">
        <v>2.29</v>
      </c>
      <c r="F268" s="20">
        <v>0.25</v>
      </c>
      <c r="G268" s="20">
        <v>17.420000000000002</v>
      </c>
      <c r="H268" s="20">
        <v>13.94</v>
      </c>
      <c r="I268" s="20">
        <v>34.39</v>
      </c>
      <c r="J268" s="20">
        <v>936.65</v>
      </c>
      <c r="K268" s="32">
        <v>984884.03</v>
      </c>
      <c r="L268" s="2"/>
    </row>
    <row r="269" spans="1:12" x14ac:dyDescent="0.25">
      <c r="A269" s="58">
        <v>46064</v>
      </c>
      <c r="B269" s="18">
        <v>0.70833333333333337</v>
      </c>
      <c r="C269" s="20">
        <v>5.98</v>
      </c>
      <c r="D269" s="20">
        <v>73.16</v>
      </c>
      <c r="E269" s="20">
        <v>2</v>
      </c>
      <c r="F269" s="20">
        <v>0.19</v>
      </c>
      <c r="G269" s="20">
        <v>17.48</v>
      </c>
      <c r="H269" s="20">
        <v>13.92</v>
      </c>
      <c r="I269" s="20">
        <v>34.090000000000003</v>
      </c>
      <c r="J269" s="20">
        <v>937.33</v>
      </c>
      <c r="K269" s="32">
        <v>990853.35000000009</v>
      </c>
      <c r="L269" s="2"/>
    </row>
    <row r="270" spans="1:12" x14ac:dyDescent="0.25">
      <c r="A270" s="58">
        <v>46064</v>
      </c>
      <c r="B270" s="18">
        <v>0.75</v>
      </c>
      <c r="C270" s="20">
        <v>5.65</v>
      </c>
      <c r="D270" s="20">
        <v>74.09</v>
      </c>
      <c r="E270" s="20">
        <v>1.78</v>
      </c>
      <c r="F270" s="20">
        <v>0.13</v>
      </c>
      <c r="G270" s="20">
        <v>17.46</v>
      </c>
      <c r="H270" s="20">
        <v>13.91</v>
      </c>
      <c r="I270" s="20">
        <v>34.15</v>
      </c>
      <c r="J270" s="20">
        <v>937.99</v>
      </c>
      <c r="K270" s="32">
        <v>987761.96</v>
      </c>
      <c r="L270" s="2"/>
    </row>
    <row r="271" spans="1:12" x14ac:dyDescent="0.25">
      <c r="A271" s="58">
        <v>46064</v>
      </c>
      <c r="B271" s="18">
        <v>0.79166666666666663</v>
      </c>
      <c r="C271" s="20">
        <v>5.86</v>
      </c>
      <c r="D271" s="20">
        <v>74.760000000000005</v>
      </c>
      <c r="E271" s="20">
        <v>1.7</v>
      </c>
      <c r="F271" s="20">
        <v>0.25</v>
      </c>
      <c r="G271" s="20">
        <v>17.46</v>
      </c>
      <c r="H271" s="20">
        <v>13.91</v>
      </c>
      <c r="I271" s="20">
        <v>34.29</v>
      </c>
      <c r="J271" s="20">
        <v>938.46</v>
      </c>
      <c r="K271" s="32">
        <v>985341.6399999999</v>
      </c>
      <c r="L271" s="2"/>
    </row>
    <row r="272" spans="1:12" x14ac:dyDescent="0.25">
      <c r="A272" s="58">
        <v>46064</v>
      </c>
      <c r="B272" s="18">
        <v>0.83333333333333337</v>
      </c>
      <c r="C272" s="20">
        <v>6.52</v>
      </c>
      <c r="D272" s="20">
        <v>74.23</v>
      </c>
      <c r="E272" s="20">
        <v>2.46</v>
      </c>
      <c r="F272" s="20">
        <v>0.45</v>
      </c>
      <c r="G272" s="20">
        <v>17.420000000000002</v>
      </c>
      <c r="H272" s="20">
        <v>13.91</v>
      </c>
      <c r="I272" s="20">
        <v>34.36</v>
      </c>
      <c r="J272" s="20">
        <v>939.03</v>
      </c>
      <c r="K272" s="32">
        <v>981483.5</v>
      </c>
      <c r="L272" s="2"/>
    </row>
    <row r="273" spans="1:12" x14ac:dyDescent="0.25">
      <c r="A273" s="58">
        <v>46064</v>
      </c>
      <c r="B273" s="18">
        <v>0.875</v>
      </c>
      <c r="C273" s="20">
        <v>6.03</v>
      </c>
      <c r="D273" s="20">
        <v>74.349999999999994</v>
      </c>
      <c r="E273" s="20">
        <v>2.37</v>
      </c>
      <c r="F273" s="20">
        <v>0.85</v>
      </c>
      <c r="G273" s="20">
        <v>17.420000000000002</v>
      </c>
      <c r="H273" s="20">
        <v>13.89</v>
      </c>
      <c r="I273" s="20">
        <v>34.270000000000003</v>
      </c>
      <c r="J273" s="20">
        <v>939.55</v>
      </c>
      <c r="K273" s="32">
        <v>976659.89999999991</v>
      </c>
      <c r="L273" s="2"/>
    </row>
    <row r="274" spans="1:12" x14ac:dyDescent="0.25">
      <c r="A274" s="58">
        <v>46064</v>
      </c>
      <c r="B274" s="18">
        <v>0.91666666666666663</v>
      </c>
      <c r="C274" s="20">
        <v>7.87</v>
      </c>
      <c r="D274" s="20">
        <v>74.989999999999995</v>
      </c>
      <c r="E274" s="20">
        <v>2.38</v>
      </c>
      <c r="F274" s="20">
        <v>0.63</v>
      </c>
      <c r="G274" s="20">
        <v>17.420000000000002</v>
      </c>
      <c r="H274" s="20">
        <v>13.89</v>
      </c>
      <c r="I274" s="20">
        <v>34.29</v>
      </c>
      <c r="J274" s="20">
        <v>939.82</v>
      </c>
      <c r="K274" s="32">
        <v>980810.83000000007</v>
      </c>
      <c r="L274" s="2"/>
    </row>
    <row r="275" spans="1:12" ht="15.75" thickBot="1" x14ac:dyDescent="0.3">
      <c r="A275" s="60">
        <v>46064</v>
      </c>
      <c r="B275" s="35">
        <v>0.95833333333333337</v>
      </c>
      <c r="C275" s="24">
        <v>7.8</v>
      </c>
      <c r="D275" s="24">
        <v>74.95</v>
      </c>
      <c r="E275" s="24">
        <v>1.95</v>
      </c>
      <c r="F275" s="24">
        <v>0.66</v>
      </c>
      <c r="G275" s="24">
        <v>17.440000000000001</v>
      </c>
      <c r="H275" s="24">
        <v>13.88</v>
      </c>
      <c r="I275" s="24">
        <v>34.07</v>
      </c>
      <c r="J275" s="24">
        <v>940.1</v>
      </c>
      <c r="K275" s="36">
        <v>988858.02</v>
      </c>
      <c r="L275" s="2"/>
    </row>
    <row r="276" spans="1:12" ht="15.75" thickBot="1" x14ac:dyDescent="0.3">
      <c r="A276" s="26" t="s">
        <v>55</v>
      </c>
      <c r="B276" s="44"/>
      <c r="C276" s="45">
        <f t="shared" ref="C276:K276" si="10">IFERROR(ROUND(AVERAGE(C252:C275), 2), "")</f>
        <v>6.35</v>
      </c>
      <c r="D276" s="45">
        <f t="shared" si="10"/>
        <v>73.959999999999994</v>
      </c>
      <c r="E276" s="45">
        <f t="shared" si="10"/>
        <v>2.2400000000000002</v>
      </c>
      <c r="F276" s="45">
        <f t="shared" si="10"/>
        <v>1.22</v>
      </c>
      <c r="G276" s="45">
        <f t="shared" si="10"/>
        <v>17.440000000000001</v>
      </c>
      <c r="H276" s="45">
        <f t="shared" si="10"/>
        <v>14.02</v>
      </c>
      <c r="I276" s="45">
        <f t="shared" si="10"/>
        <v>35.1</v>
      </c>
      <c r="J276" s="45">
        <f t="shared" si="10"/>
        <v>933.58</v>
      </c>
      <c r="K276" s="46">
        <f t="shared" si="10"/>
        <v>996070.42</v>
      </c>
      <c r="L276" s="7"/>
    </row>
    <row r="277" spans="1:12" x14ac:dyDescent="0.25">
      <c r="A277" s="57">
        <v>46065</v>
      </c>
      <c r="B277" s="14">
        <v>0</v>
      </c>
      <c r="C277" s="15">
        <v>6.45</v>
      </c>
      <c r="D277" s="16">
        <v>74.02</v>
      </c>
      <c r="E277" s="15">
        <v>2.42</v>
      </c>
      <c r="F277" s="15">
        <v>0.36</v>
      </c>
      <c r="G277" s="16">
        <v>17.43</v>
      </c>
      <c r="H277" s="16">
        <v>13.87</v>
      </c>
      <c r="I277" s="16">
        <v>33.92</v>
      </c>
      <c r="J277" s="16">
        <v>940.25</v>
      </c>
      <c r="K277" s="31">
        <v>986440.84000000008</v>
      </c>
      <c r="L277" s="2"/>
    </row>
    <row r="278" spans="1:12" x14ac:dyDescent="0.25">
      <c r="A278" s="58">
        <v>46065</v>
      </c>
      <c r="B278" s="18">
        <v>4.1666666666666664E-2</v>
      </c>
      <c r="C278" s="19">
        <v>6.7</v>
      </c>
      <c r="D278" s="20">
        <v>75.11</v>
      </c>
      <c r="E278" s="19">
        <v>2.64</v>
      </c>
      <c r="F278" s="19">
        <v>0.13</v>
      </c>
      <c r="G278" s="20">
        <v>17.41</v>
      </c>
      <c r="H278" s="20">
        <v>13.87</v>
      </c>
      <c r="I278" s="20">
        <v>33.93</v>
      </c>
      <c r="J278" s="20">
        <v>940.28</v>
      </c>
      <c r="K278" s="32">
        <v>976706.51</v>
      </c>
      <c r="L278" s="2"/>
    </row>
    <row r="279" spans="1:12" x14ac:dyDescent="0.25">
      <c r="A279" s="58">
        <v>46065</v>
      </c>
      <c r="B279" s="18">
        <v>8.3333333333333329E-2</v>
      </c>
      <c r="C279" s="19">
        <v>6.62</v>
      </c>
      <c r="D279" s="20">
        <v>75.58</v>
      </c>
      <c r="E279" s="19">
        <v>2.61</v>
      </c>
      <c r="F279" s="19">
        <v>0.14000000000000001</v>
      </c>
      <c r="G279" s="20">
        <v>17.440000000000001</v>
      </c>
      <c r="H279" s="20">
        <v>13.85</v>
      </c>
      <c r="I279" s="20">
        <v>33.770000000000003</v>
      </c>
      <c r="J279" s="20">
        <v>940.65</v>
      </c>
      <c r="K279" s="32">
        <v>996468.33000000007</v>
      </c>
      <c r="L279" s="2"/>
    </row>
    <row r="280" spans="1:12" x14ac:dyDescent="0.25">
      <c r="A280" s="58">
        <v>46065</v>
      </c>
      <c r="B280" s="18">
        <v>0.125</v>
      </c>
      <c r="C280" s="19">
        <v>5.94</v>
      </c>
      <c r="D280" s="20">
        <v>75.41</v>
      </c>
      <c r="E280" s="19">
        <v>2.0499999999999998</v>
      </c>
      <c r="F280" s="19">
        <v>7.0000000000000007E-2</v>
      </c>
      <c r="G280" s="20">
        <v>17.440000000000001</v>
      </c>
      <c r="H280" s="20">
        <v>13.87</v>
      </c>
      <c r="I280" s="20">
        <v>34.01</v>
      </c>
      <c r="J280" s="20">
        <v>940.63</v>
      </c>
      <c r="K280" s="32">
        <v>987463.12000000011</v>
      </c>
      <c r="L280" s="2"/>
    </row>
    <row r="281" spans="1:12" x14ac:dyDescent="0.25">
      <c r="A281" s="58">
        <v>46065</v>
      </c>
      <c r="B281" s="18">
        <v>0.16666666666666666</v>
      </c>
      <c r="C281" s="19">
        <v>6.43</v>
      </c>
      <c r="D281" s="20">
        <v>75.510000000000005</v>
      </c>
      <c r="E281" s="19">
        <v>2.56</v>
      </c>
      <c r="F281" s="19">
        <v>0.02</v>
      </c>
      <c r="G281" s="20">
        <v>17.45</v>
      </c>
      <c r="H281" s="20">
        <v>13.85</v>
      </c>
      <c r="I281" s="20">
        <v>33.65</v>
      </c>
      <c r="J281" s="20">
        <v>940.42</v>
      </c>
      <c r="K281" s="32">
        <v>987359.58000000007</v>
      </c>
      <c r="L281" s="2"/>
    </row>
    <row r="282" spans="1:12" x14ac:dyDescent="0.25">
      <c r="A282" s="58">
        <v>46065</v>
      </c>
      <c r="B282" s="18">
        <v>0.20833333333333334</v>
      </c>
      <c r="C282" s="19">
        <v>6.63</v>
      </c>
      <c r="D282" s="20">
        <v>75.569999999999993</v>
      </c>
      <c r="E282" s="19">
        <v>2.75</v>
      </c>
      <c r="F282" s="19">
        <v>0.13</v>
      </c>
      <c r="G282" s="20">
        <v>17.45</v>
      </c>
      <c r="H282" s="20">
        <v>13.83</v>
      </c>
      <c r="I282" s="20">
        <v>33.25</v>
      </c>
      <c r="J282" s="20">
        <v>940.68</v>
      </c>
      <c r="K282" s="32">
        <v>993348.10000000009</v>
      </c>
      <c r="L282" s="2"/>
    </row>
    <row r="283" spans="1:12" x14ac:dyDescent="0.25">
      <c r="A283" s="58">
        <v>46065</v>
      </c>
      <c r="B283" s="18">
        <v>0.25</v>
      </c>
      <c r="C283" s="19">
        <v>7.02</v>
      </c>
      <c r="D283" s="20">
        <v>75.930000000000007</v>
      </c>
      <c r="E283" s="19">
        <v>2.65</v>
      </c>
      <c r="F283" s="19">
        <v>0.1</v>
      </c>
      <c r="G283" s="20">
        <v>17.45</v>
      </c>
      <c r="H283" s="20">
        <v>13.82</v>
      </c>
      <c r="I283" s="20">
        <v>33.06</v>
      </c>
      <c r="J283" s="20">
        <v>940.96</v>
      </c>
      <c r="K283" s="32">
        <v>992236.87999999989</v>
      </c>
      <c r="L283" s="2"/>
    </row>
    <row r="284" spans="1:12" x14ac:dyDescent="0.25">
      <c r="A284" s="58">
        <v>46065</v>
      </c>
      <c r="B284" s="18">
        <v>0.29166666666666669</v>
      </c>
      <c r="C284" s="19">
        <v>6.53</v>
      </c>
      <c r="D284" s="20">
        <v>73.430000000000007</v>
      </c>
      <c r="E284" s="19">
        <v>2.66</v>
      </c>
      <c r="F284" s="19">
        <v>2.16</v>
      </c>
      <c r="G284" s="20">
        <v>17.43</v>
      </c>
      <c r="H284" s="20">
        <v>13.81</v>
      </c>
      <c r="I284" s="20">
        <v>32.94</v>
      </c>
      <c r="J284" s="20">
        <v>941.19</v>
      </c>
      <c r="K284" s="32">
        <v>962072.85000000009</v>
      </c>
      <c r="L284" s="2"/>
    </row>
    <row r="285" spans="1:12" x14ac:dyDescent="0.25">
      <c r="A285" s="58">
        <v>46065</v>
      </c>
      <c r="B285" s="18">
        <v>0.33333333333333331</v>
      </c>
      <c r="C285" s="19">
        <v>7.33</v>
      </c>
      <c r="D285" s="20">
        <v>74.69</v>
      </c>
      <c r="E285" s="19">
        <v>2.79</v>
      </c>
      <c r="F285" s="19">
        <v>0.6</v>
      </c>
      <c r="G285" s="20">
        <v>17.41</v>
      </c>
      <c r="H285" s="20">
        <v>13.8</v>
      </c>
      <c r="I285" s="20">
        <v>32.72</v>
      </c>
      <c r="J285" s="20">
        <v>941.45</v>
      </c>
      <c r="K285" s="32">
        <v>965600.28</v>
      </c>
      <c r="L285" s="2"/>
    </row>
    <row r="286" spans="1:12" x14ac:dyDescent="0.25">
      <c r="A286" s="58">
        <v>46065</v>
      </c>
      <c r="B286" s="18">
        <v>0.375</v>
      </c>
      <c r="C286" s="19">
        <v>6.68</v>
      </c>
      <c r="D286" s="20">
        <v>74.37</v>
      </c>
      <c r="E286" s="19">
        <v>2.42</v>
      </c>
      <c r="F286" s="19">
        <v>0.62</v>
      </c>
      <c r="G286" s="20">
        <v>17.43</v>
      </c>
      <c r="H286" s="20">
        <v>13.79</v>
      </c>
      <c r="I286" s="20">
        <v>32.770000000000003</v>
      </c>
      <c r="J286" s="20">
        <v>941.97</v>
      </c>
      <c r="K286" s="32">
        <v>981064.66999999993</v>
      </c>
      <c r="L286" s="2"/>
    </row>
    <row r="287" spans="1:12" x14ac:dyDescent="0.25">
      <c r="A287" s="58">
        <v>46065</v>
      </c>
      <c r="B287" s="18">
        <v>0.41666666666666669</v>
      </c>
      <c r="C287" s="19">
        <v>7.2</v>
      </c>
      <c r="D287" s="20">
        <v>75</v>
      </c>
      <c r="E287" s="19">
        <v>2.0299999999999998</v>
      </c>
      <c r="F287" s="19">
        <v>0.26</v>
      </c>
      <c r="G287" s="20">
        <v>17.47</v>
      </c>
      <c r="H287" s="20">
        <v>13.78</v>
      </c>
      <c r="I287" s="20">
        <v>32.619999999999997</v>
      </c>
      <c r="J287" s="20">
        <v>942.21</v>
      </c>
      <c r="K287" s="32">
        <v>987746.48</v>
      </c>
      <c r="L287" s="2"/>
    </row>
    <row r="288" spans="1:12" x14ac:dyDescent="0.25">
      <c r="A288" s="58">
        <v>46065</v>
      </c>
      <c r="B288" s="18">
        <v>0.45833333333333331</v>
      </c>
      <c r="C288" s="19">
        <v>7.37</v>
      </c>
      <c r="D288" s="20">
        <v>75.069999999999993</v>
      </c>
      <c r="E288" s="19">
        <v>2.34</v>
      </c>
      <c r="F288" s="19">
        <v>0.3</v>
      </c>
      <c r="G288" s="20">
        <v>17.489999999999998</v>
      </c>
      <c r="H288" s="20">
        <v>13.81</v>
      </c>
      <c r="I288" s="20">
        <v>33.22</v>
      </c>
      <c r="J288" s="20">
        <v>942.1</v>
      </c>
      <c r="K288" s="32">
        <v>990233.1100000001</v>
      </c>
      <c r="L288" s="2"/>
    </row>
    <row r="289" spans="1:12" x14ac:dyDescent="0.25">
      <c r="A289" s="58">
        <v>46065</v>
      </c>
      <c r="B289" s="18">
        <v>0.5</v>
      </c>
      <c r="C289" s="19">
        <v>6.58</v>
      </c>
      <c r="D289" s="20">
        <v>74.97</v>
      </c>
      <c r="E289" s="19">
        <v>2.2200000000000002</v>
      </c>
      <c r="F289" s="19">
        <v>0.28000000000000003</v>
      </c>
      <c r="G289" s="20">
        <v>17.489999999999998</v>
      </c>
      <c r="H289" s="20">
        <v>13.83</v>
      </c>
      <c r="I289" s="20">
        <v>33.72</v>
      </c>
      <c r="J289" s="20">
        <v>941.84</v>
      </c>
      <c r="K289" s="32">
        <v>981779.62000000011</v>
      </c>
      <c r="L289" s="2"/>
    </row>
    <row r="290" spans="1:12" x14ac:dyDescent="0.25">
      <c r="A290" s="58">
        <v>46065</v>
      </c>
      <c r="B290" s="18">
        <v>0.54166666666666663</v>
      </c>
      <c r="C290" s="19">
        <v>7.52</v>
      </c>
      <c r="D290" s="20">
        <v>75.19</v>
      </c>
      <c r="E290" s="19">
        <v>1.66</v>
      </c>
      <c r="F290" s="19">
        <v>0.35</v>
      </c>
      <c r="G290" s="20">
        <v>17.46</v>
      </c>
      <c r="H290" s="20">
        <v>13.87</v>
      </c>
      <c r="I290" s="20">
        <v>34.43</v>
      </c>
      <c r="J290" s="20">
        <v>941.65</v>
      </c>
      <c r="K290" s="32">
        <v>977534.59000000008</v>
      </c>
      <c r="L290" s="2"/>
    </row>
    <row r="291" spans="1:12" x14ac:dyDescent="0.25">
      <c r="A291" s="58">
        <v>46065</v>
      </c>
      <c r="B291" s="18">
        <v>0.58333333333333337</v>
      </c>
      <c r="C291" s="19">
        <v>6.05</v>
      </c>
      <c r="D291" s="20">
        <v>73</v>
      </c>
      <c r="E291" s="19">
        <v>1.54</v>
      </c>
      <c r="F291" s="19">
        <v>0.23</v>
      </c>
      <c r="G291" s="20">
        <v>17.43</v>
      </c>
      <c r="H291" s="20">
        <v>13.89</v>
      </c>
      <c r="I291" s="20">
        <v>34.92</v>
      </c>
      <c r="J291" s="20">
        <v>941.49</v>
      </c>
      <c r="K291" s="32">
        <v>965000.6399999999</v>
      </c>
      <c r="L291" s="2"/>
    </row>
    <row r="292" spans="1:12" x14ac:dyDescent="0.25">
      <c r="A292" s="58">
        <v>46065</v>
      </c>
      <c r="B292" s="18">
        <v>0.625</v>
      </c>
      <c r="C292" s="19">
        <v>6.95</v>
      </c>
      <c r="D292" s="20">
        <v>72.78</v>
      </c>
      <c r="E292" s="19">
        <v>1.67</v>
      </c>
      <c r="F292" s="19">
        <v>0.9</v>
      </c>
      <c r="G292" s="20">
        <v>17.43</v>
      </c>
      <c r="H292" s="20">
        <v>13.9</v>
      </c>
      <c r="I292" s="20">
        <v>35.130000000000003</v>
      </c>
      <c r="J292" s="20">
        <v>941.69</v>
      </c>
      <c r="K292" s="32">
        <v>958916.35000000009</v>
      </c>
      <c r="L292" s="2"/>
    </row>
    <row r="293" spans="1:12" x14ac:dyDescent="0.25">
      <c r="A293" s="58">
        <v>46065</v>
      </c>
      <c r="B293" s="18">
        <v>0.66666666666666663</v>
      </c>
      <c r="C293" s="19">
        <v>7.38</v>
      </c>
      <c r="D293" s="20">
        <v>72.37</v>
      </c>
      <c r="E293" s="19">
        <v>1.7</v>
      </c>
      <c r="F293" s="19">
        <v>0.74</v>
      </c>
      <c r="G293" s="20">
        <v>17.43</v>
      </c>
      <c r="H293" s="20">
        <v>13.89</v>
      </c>
      <c r="I293" s="20">
        <v>35.07</v>
      </c>
      <c r="J293" s="20">
        <v>941.99</v>
      </c>
      <c r="K293" s="32">
        <v>963764.27</v>
      </c>
      <c r="L293" s="2"/>
    </row>
    <row r="294" spans="1:12" x14ac:dyDescent="0.25">
      <c r="A294" s="58">
        <v>46065</v>
      </c>
      <c r="B294" s="18">
        <v>0.70833333333333337</v>
      </c>
      <c r="C294" s="19">
        <v>7.24</v>
      </c>
      <c r="D294" s="20">
        <v>71.98</v>
      </c>
      <c r="E294" s="19">
        <v>1.47</v>
      </c>
      <c r="F294" s="19">
        <v>0.83</v>
      </c>
      <c r="G294" s="20">
        <v>17.43</v>
      </c>
      <c r="H294" s="20">
        <v>13.87</v>
      </c>
      <c r="I294" s="20">
        <v>34.64</v>
      </c>
      <c r="J294" s="20">
        <v>942.32</v>
      </c>
      <c r="K294" s="32">
        <v>957503.78</v>
      </c>
      <c r="L294" s="2"/>
    </row>
    <row r="295" spans="1:12" x14ac:dyDescent="0.25">
      <c r="A295" s="58">
        <v>46065</v>
      </c>
      <c r="B295" s="18">
        <v>0.75</v>
      </c>
      <c r="C295" s="19">
        <v>6.76</v>
      </c>
      <c r="D295" s="20">
        <v>72.040000000000006</v>
      </c>
      <c r="E295" s="19">
        <v>1.47</v>
      </c>
      <c r="F295" s="19">
        <v>0.89</v>
      </c>
      <c r="G295" s="20">
        <v>17.440000000000001</v>
      </c>
      <c r="H295" s="20">
        <v>13.85</v>
      </c>
      <c r="I295" s="20">
        <v>34.340000000000003</v>
      </c>
      <c r="J295" s="20">
        <v>942.61</v>
      </c>
      <c r="K295" s="32">
        <v>965133.77</v>
      </c>
      <c r="L295" s="2"/>
    </row>
    <row r="296" spans="1:12" x14ac:dyDescent="0.25">
      <c r="A296" s="58">
        <v>46065</v>
      </c>
      <c r="B296" s="18">
        <v>0.79166666666666663</v>
      </c>
      <c r="C296" s="19">
        <v>6.87</v>
      </c>
      <c r="D296" s="20">
        <v>72.12</v>
      </c>
      <c r="E296" s="19">
        <v>1.46</v>
      </c>
      <c r="F296" s="19">
        <v>1.21</v>
      </c>
      <c r="G296" s="20">
        <v>17.45</v>
      </c>
      <c r="H296" s="20">
        <v>13.83</v>
      </c>
      <c r="I296" s="20">
        <v>34.01</v>
      </c>
      <c r="J296" s="20">
        <v>943.12</v>
      </c>
      <c r="K296" s="32">
        <v>965489.37999999989</v>
      </c>
      <c r="L296" s="2"/>
    </row>
    <row r="297" spans="1:12" x14ac:dyDescent="0.25">
      <c r="A297" s="58">
        <v>46065</v>
      </c>
      <c r="B297" s="18">
        <v>0.83333333333333337</v>
      </c>
      <c r="C297" s="19">
        <v>6.96</v>
      </c>
      <c r="D297" s="20">
        <v>73.849999999999994</v>
      </c>
      <c r="E297" s="19">
        <v>1.52</v>
      </c>
      <c r="F297" s="19">
        <v>0.7</v>
      </c>
      <c r="G297" s="20">
        <v>17.47</v>
      </c>
      <c r="H297" s="20">
        <v>13.8</v>
      </c>
      <c r="I297" s="20">
        <v>33.520000000000003</v>
      </c>
      <c r="J297" s="20">
        <v>943.27</v>
      </c>
      <c r="K297" s="32">
        <v>963706.98</v>
      </c>
      <c r="L297" s="2"/>
    </row>
    <row r="298" spans="1:12" x14ac:dyDescent="0.25">
      <c r="A298" s="58">
        <v>46065</v>
      </c>
      <c r="B298" s="18">
        <v>0.875</v>
      </c>
      <c r="C298" s="19">
        <v>6.89</v>
      </c>
      <c r="D298" s="20">
        <v>74.53</v>
      </c>
      <c r="E298" s="19">
        <v>1.6</v>
      </c>
      <c r="F298" s="19">
        <v>0.32</v>
      </c>
      <c r="G298" s="20">
        <v>17.46</v>
      </c>
      <c r="H298" s="20">
        <v>13.76</v>
      </c>
      <c r="I298" s="20">
        <v>32.81</v>
      </c>
      <c r="J298" s="20">
        <v>943.81</v>
      </c>
      <c r="K298" s="32">
        <v>968284.12000000011</v>
      </c>
      <c r="L298" s="2"/>
    </row>
    <row r="299" spans="1:12" x14ac:dyDescent="0.25">
      <c r="A299" s="58">
        <v>46065</v>
      </c>
      <c r="B299" s="18">
        <v>0.91666666666666663</v>
      </c>
      <c r="C299" s="19">
        <v>6.47</v>
      </c>
      <c r="D299" s="20">
        <v>73.88</v>
      </c>
      <c r="E299" s="19">
        <v>1.55</v>
      </c>
      <c r="F299" s="19">
        <v>0.54</v>
      </c>
      <c r="G299" s="20">
        <v>17.39</v>
      </c>
      <c r="H299" s="20">
        <v>13.77</v>
      </c>
      <c r="I299" s="20">
        <v>32.97</v>
      </c>
      <c r="J299" s="20">
        <v>944.27</v>
      </c>
      <c r="K299" s="32">
        <v>947676.81</v>
      </c>
      <c r="L299" s="2"/>
    </row>
    <row r="300" spans="1:12" ht="15.75" thickBot="1" x14ac:dyDescent="0.3">
      <c r="A300" s="60">
        <v>46065</v>
      </c>
      <c r="B300" s="35">
        <v>0.95833333333333337</v>
      </c>
      <c r="C300" s="23">
        <v>6.68</v>
      </c>
      <c r="D300" s="24">
        <v>74.22</v>
      </c>
      <c r="E300" s="23">
        <v>1.38</v>
      </c>
      <c r="F300" s="23">
        <v>0.68</v>
      </c>
      <c r="G300" s="24">
        <v>17.34</v>
      </c>
      <c r="H300" s="24">
        <v>13.76</v>
      </c>
      <c r="I300" s="24">
        <v>32.96</v>
      </c>
      <c r="J300" s="24">
        <v>944.61</v>
      </c>
      <c r="K300" s="36">
        <v>936063.74</v>
      </c>
      <c r="L300" s="2"/>
    </row>
    <row r="301" spans="1:12" ht="15.75" thickBot="1" x14ac:dyDescent="0.3">
      <c r="A301" s="26" t="s">
        <v>56</v>
      </c>
      <c r="B301" s="44"/>
      <c r="C301" s="45">
        <f t="shared" ref="C301:K301" si="11">IFERROR(ROUND(AVERAGE(C277:C300), 2), "")</f>
        <v>6.8</v>
      </c>
      <c r="D301" s="45">
        <f t="shared" si="11"/>
        <v>74.19</v>
      </c>
      <c r="E301" s="45">
        <f t="shared" si="11"/>
        <v>2.0499999999999998</v>
      </c>
      <c r="F301" s="45">
        <f t="shared" si="11"/>
        <v>0.52</v>
      </c>
      <c r="G301" s="45">
        <f t="shared" si="11"/>
        <v>17.440000000000001</v>
      </c>
      <c r="H301" s="45">
        <f t="shared" si="11"/>
        <v>13.83</v>
      </c>
      <c r="I301" s="45">
        <f t="shared" si="11"/>
        <v>33.68</v>
      </c>
      <c r="J301" s="45">
        <f t="shared" si="11"/>
        <v>941.89</v>
      </c>
      <c r="K301" s="46">
        <f t="shared" si="11"/>
        <v>973233.12</v>
      </c>
      <c r="L301" s="7"/>
    </row>
    <row r="302" spans="1:12" x14ac:dyDescent="0.25">
      <c r="A302" s="57">
        <v>46066</v>
      </c>
      <c r="B302" s="14">
        <v>0</v>
      </c>
      <c r="C302" s="16">
        <v>6.54</v>
      </c>
      <c r="D302" s="16">
        <v>74.89</v>
      </c>
      <c r="E302" s="16">
        <v>1.25</v>
      </c>
      <c r="F302" s="16">
        <v>0.17</v>
      </c>
      <c r="G302" s="16">
        <v>17.36</v>
      </c>
      <c r="H302" s="16">
        <v>13.74</v>
      </c>
      <c r="I302" s="16">
        <v>32.57</v>
      </c>
      <c r="J302" s="16">
        <v>944.8</v>
      </c>
      <c r="K302" s="31">
        <v>948173.26</v>
      </c>
      <c r="L302" s="2"/>
    </row>
    <row r="303" spans="1:12" x14ac:dyDescent="0.25">
      <c r="A303" s="58">
        <v>46066</v>
      </c>
      <c r="B303" s="18">
        <v>4.1666666666666664E-2</v>
      </c>
      <c r="C303" s="20">
        <v>6.61</v>
      </c>
      <c r="D303" s="20">
        <v>75.39</v>
      </c>
      <c r="E303" s="20">
        <v>1.53</v>
      </c>
      <c r="F303" s="20">
        <v>0.06</v>
      </c>
      <c r="G303" s="20">
        <v>17.38</v>
      </c>
      <c r="H303" s="20">
        <v>13.71</v>
      </c>
      <c r="I303" s="20">
        <v>31.98</v>
      </c>
      <c r="J303" s="20">
        <v>944.8</v>
      </c>
      <c r="K303" s="32">
        <v>965062.57000000007</v>
      </c>
      <c r="L303" s="2"/>
    </row>
    <row r="304" spans="1:12" x14ac:dyDescent="0.25">
      <c r="A304" s="58">
        <v>46066</v>
      </c>
      <c r="B304" s="18">
        <v>8.3333333333333329E-2</v>
      </c>
      <c r="C304" s="20">
        <v>7.29</v>
      </c>
      <c r="D304" s="20">
        <v>76.290000000000006</v>
      </c>
      <c r="E304" s="20">
        <v>1.26</v>
      </c>
      <c r="F304" s="20">
        <v>0.11</v>
      </c>
      <c r="G304" s="20">
        <v>17.38</v>
      </c>
      <c r="H304" s="20">
        <v>13.69</v>
      </c>
      <c r="I304" s="20">
        <v>31.6</v>
      </c>
      <c r="J304" s="20">
        <v>945.05</v>
      </c>
      <c r="K304" s="32">
        <v>963991.22</v>
      </c>
      <c r="L304" s="2"/>
    </row>
    <row r="305" spans="1:12" x14ac:dyDescent="0.25">
      <c r="A305" s="58">
        <v>46066</v>
      </c>
      <c r="B305" s="18">
        <v>0.125</v>
      </c>
      <c r="C305" s="20">
        <v>6.77</v>
      </c>
      <c r="D305" s="20">
        <v>75.540000000000006</v>
      </c>
      <c r="E305" s="20">
        <v>1.21</v>
      </c>
      <c r="F305" s="20">
        <v>0.14000000000000001</v>
      </c>
      <c r="G305" s="20">
        <v>17.38</v>
      </c>
      <c r="H305" s="20">
        <v>13.68</v>
      </c>
      <c r="I305" s="20">
        <v>31.47</v>
      </c>
      <c r="J305" s="20">
        <v>945.26</v>
      </c>
      <c r="K305" s="32">
        <v>971791.3</v>
      </c>
      <c r="L305" s="2"/>
    </row>
    <row r="306" spans="1:12" x14ac:dyDescent="0.25">
      <c r="A306" s="58">
        <v>46066</v>
      </c>
      <c r="B306" s="18">
        <v>0.16666666666666666</v>
      </c>
      <c r="C306" s="20">
        <v>6.26</v>
      </c>
      <c r="D306" s="20">
        <v>74.510000000000005</v>
      </c>
      <c r="E306" s="20">
        <v>1.1200000000000001</v>
      </c>
      <c r="F306" s="20">
        <v>0.03</v>
      </c>
      <c r="G306" s="20">
        <v>17.350000000000001</v>
      </c>
      <c r="H306" s="20">
        <v>13.68</v>
      </c>
      <c r="I306" s="20">
        <v>31.43</v>
      </c>
      <c r="J306" s="20">
        <v>945.34</v>
      </c>
      <c r="K306" s="32">
        <v>958118.96</v>
      </c>
      <c r="L306" s="2"/>
    </row>
    <row r="307" spans="1:12" x14ac:dyDescent="0.25">
      <c r="A307" s="58">
        <v>46066</v>
      </c>
      <c r="B307" s="18">
        <v>0.20833333333333334</v>
      </c>
      <c r="C307" s="20">
        <v>6.71</v>
      </c>
      <c r="D307" s="20">
        <v>75.040000000000006</v>
      </c>
      <c r="E307" s="20">
        <v>1.01</v>
      </c>
      <c r="F307" s="20">
        <v>0.1</v>
      </c>
      <c r="G307" s="20">
        <v>17.34</v>
      </c>
      <c r="H307" s="20">
        <v>13.68</v>
      </c>
      <c r="I307" s="20">
        <v>31.58</v>
      </c>
      <c r="J307" s="20">
        <v>945.53</v>
      </c>
      <c r="K307" s="32">
        <v>949373.69</v>
      </c>
      <c r="L307" s="2"/>
    </row>
    <row r="308" spans="1:12" x14ac:dyDescent="0.25">
      <c r="A308" s="58">
        <v>46066</v>
      </c>
      <c r="B308" s="18">
        <v>0.25</v>
      </c>
      <c r="C308" s="20">
        <v>7.68</v>
      </c>
      <c r="D308" s="20">
        <v>75.58</v>
      </c>
      <c r="E308" s="20">
        <v>1.22</v>
      </c>
      <c r="F308" s="20">
        <v>0.13</v>
      </c>
      <c r="G308" s="20">
        <v>17.37</v>
      </c>
      <c r="H308" s="20">
        <v>13.67</v>
      </c>
      <c r="I308" s="20">
        <v>31.36</v>
      </c>
      <c r="J308" s="20">
        <v>945.94</v>
      </c>
      <c r="K308" s="32">
        <v>963836.10000000009</v>
      </c>
      <c r="L308" s="2"/>
    </row>
    <row r="309" spans="1:12" x14ac:dyDescent="0.25">
      <c r="A309" s="58">
        <v>46066</v>
      </c>
      <c r="B309" s="18">
        <v>0.29166666666666669</v>
      </c>
      <c r="C309" s="20">
        <v>8.1</v>
      </c>
      <c r="D309" s="20">
        <v>76.7</v>
      </c>
      <c r="E309" s="20">
        <v>1.04</v>
      </c>
      <c r="F309" s="20">
        <v>0.04</v>
      </c>
      <c r="G309" s="20">
        <v>17.39</v>
      </c>
      <c r="H309" s="20">
        <v>13.65</v>
      </c>
      <c r="I309" s="20">
        <v>31.03</v>
      </c>
      <c r="J309" s="20">
        <v>946.2</v>
      </c>
      <c r="K309" s="32">
        <v>972693.98</v>
      </c>
      <c r="L309" s="2"/>
    </row>
    <row r="310" spans="1:12" x14ac:dyDescent="0.25">
      <c r="A310" s="58">
        <v>46066</v>
      </c>
      <c r="B310" s="18">
        <v>0.33333333333333331</v>
      </c>
      <c r="C310" s="20">
        <v>7.91</v>
      </c>
      <c r="D310" s="20">
        <v>76.87</v>
      </c>
      <c r="E310" s="20">
        <v>1.38</v>
      </c>
      <c r="F310" s="20">
        <v>0.04</v>
      </c>
      <c r="G310" s="20">
        <v>17.39</v>
      </c>
      <c r="H310" s="20">
        <v>13.65</v>
      </c>
      <c r="I310" s="20">
        <v>31.04</v>
      </c>
      <c r="J310" s="20">
        <v>946.32</v>
      </c>
      <c r="K310" s="32">
        <v>970723.33000000007</v>
      </c>
      <c r="L310" s="2"/>
    </row>
    <row r="311" spans="1:12" x14ac:dyDescent="0.25">
      <c r="A311" s="58">
        <v>46066</v>
      </c>
      <c r="B311" s="18">
        <v>0.375</v>
      </c>
      <c r="C311" s="20">
        <v>8.49</v>
      </c>
      <c r="D311" s="20">
        <v>77.27</v>
      </c>
      <c r="E311" s="20">
        <v>1.23</v>
      </c>
      <c r="F311" s="20">
        <v>0.16</v>
      </c>
      <c r="G311" s="20">
        <v>17.41</v>
      </c>
      <c r="H311" s="20">
        <v>13.67</v>
      </c>
      <c r="I311" s="20">
        <v>31.69</v>
      </c>
      <c r="J311" s="20">
        <v>946.41</v>
      </c>
      <c r="K311" s="32">
        <v>969963.40999999992</v>
      </c>
      <c r="L311" s="2"/>
    </row>
    <row r="312" spans="1:12" x14ac:dyDescent="0.25">
      <c r="A312" s="58">
        <v>46066</v>
      </c>
      <c r="B312" s="18">
        <v>0.41666666666666669</v>
      </c>
      <c r="C312" s="20">
        <v>8.61</v>
      </c>
      <c r="D312" s="20">
        <v>77.58</v>
      </c>
      <c r="E312" s="20">
        <v>1.51</v>
      </c>
      <c r="F312" s="20">
        <v>0.12</v>
      </c>
      <c r="G312" s="20">
        <v>17.43</v>
      </c>
      <c r="H312" s="20">
        <v>13.71</v>
      </c>
      <c r="I312" s="20">
        <v>32.630000000000003</v>
      </c>
      <c r="J312" s="20">
        <v>946.62</v>
      </c>
      <c r="K312" s="32">
        <v>971092.04</v>
      </c>
      <c r="L312" s="2"/>
    </row>
    <row r="313" spans="1:12" x14ac:dyDescent="0.25">
      <c r="A313" s="58">
        <v>46066</v>
      </c>
      <c r="B313" s="18">
        <v>0.45833333333333331</v>
      </c>
      <c r="C313" s="20">
        <v>7.63</v>
      </c>
      <c r="D313" s="20">
        <v>76.2</v>
      </c>
      <c r="E313" s="20">
        <v>2.02</v>
      </c>
      <c r="F313" s="20">
        <v>0.24</v>
      </c>
      <c r="G313" s="20">
        <v>17.45</v>
      </c>
      <c r="H313" s="20">
        <v>13.74</v>
      </c>
      <c r="I313" s="20">
        <v>33.17</v>
      </c>
      <c r="J313" s="20">
        <v>946.42</v>
      </c>
      <c r="K313" s="32">
        <v>973514.33000000007</v>
      </c>
      <c r="L313" s="2"/>
    </row>
    <row r="314" spans="1:12" x14ac:dyDescent="0.25">
      <c r="A314" s="58">
        <v>46066</v>
      </c>
      <c r="B314" s="18">
        <v>0.5</v>
      </c>
      <c r="C314" s="20">
        <v>7.51</v>
      </c>
      <c r="D314" s="20">
        <v>74.569999999999993</v>
      </c>
      <c r="E314" s="20">
        <v>2.0699999999999998</v>
      </c>
      <c r="F314" s="20">
        <v>0.01</v>
      </c>
      <c r="G314" s="20">
        <v>17.45</v>
      </c>
      <c r="H314" s="20">
        <v>13.78</v>
      </c>
      <c r="I314" s="20">
        <v>33.74</v>
      </c>
      <c r="J314" s="20">
        <v>945.52</v>
      </c>
      <c r="K314" s="32">
        <v>971640.92999999993</v>
      </c>
      <c r="L314" s="2"/>
    </row>
    <row r="315" spans="1:12" x14ac:dyDescent="0.25">
      <c r="A315" s="58">
        <v>46066</v>
      </c>
      <c r="B315" s="18">
        <v>0.54166666666666663</v>
      </c>
      <c r="C315" s="20">
        <v>8.81</v>
      </c>
      <c r="D315" s="20">
        <v>74.930000000000007</v>
      </c>
      <c r="E315" s="20">
        <v>1.86</v>
      </c>
      <c r="F315" s="20">
        <v>0.22</v>
      </c>
      <c r="G315" s="20">
        <v>17.45</v>
      </c>
      <c r="H315" s="20">
        <v>13.82</v>
      </c>
      <c r="I315" s="20">
        <v>34.31</v>
      </c>
      <c r="J315" s="20">
        <v>944.85</v>
      </c>
      <c r="K315" s="32">
        <v>961535.76</v>
      </c>
      <c r="L315" s="2"/>
    </row>
    <row r="316" spans="1:12" x14ac:dyDescent="0.25">
      <c r="A316" s="58">
        <v>46066</v>
      </c>
      <c r="B316" s="18">
        <v>0.58333333333333337</v>
      </c>
      <c r="C316" s="20">
        <v>8.18</v>
      </c>
      <c r="D316" s="20">
        <v>73.959999999999994</v>
      </c>
      <c r="E316" s="20">
        <v>1.78</v>
      </c>
      <c r="F316" s="20">
        <v>0.36</v>
      </c>
      <c r="G316" s="20">
        <v>17.440000000000001</v>
      </c>
      <c r="H316" s="20">
        <v>13.83</v>
      </c>
      <c r="I316" s="20">
        <v>34.46</v>
      </c>
      <c r="J316" s="20">
        <v>944.29</v>
      </c>
      <c r="K316" s="32">
        <v>954789.42999999993</v>
      </c>
      <c r="L316" s="2"/>
    </row>
    <row r="317" spans="1:12" x14ac:dyDescent="0.25">
      <c r="A317" s="58">
        <v>46066</v>
      </c>
      <c r="B317" s="18">
        <v>0.625</v>
      </c>
      <c r="C317" s="20">
        <v>8.1</v>
      </c>
      <c r="D317" s="20">
        <v>73.900000000000006</v>
      </c>
      <c r="E317" s="20">
        <v>1.59</v>
      </c>
      <c r="F317" s="20">
        <v>0.35</v>
      </c>
      <c r="G317" s="20">
        <v>17.440000000000001</v>
      </c>
      <c r="H317" s="20">
        <v>13.84</v>
      </c>
      <c r="I317" s="20">
        <v>34.659999999999997</v>
      </c>
      <c r="J317" s="20">
        <v>944.39</v>
      </c>
      <c r="K317" s="32">
        <v>955279.46</v>
      </c>
      <c r="L317" s="2"/>
    </row>
    <row r="318" spans="1:12" x14ac:dyDescent="0.25">
      <c r="A318" s="58">
        <v>46066</v>
      </c>
      <c r="B318" s="18">
        <v>0.66666666666666663</v>
      </c>
      <c r="C318" s="20">
        <v>7.79</v>
      </c>
      <c r="D318" s="20">
        <v>73.86</v>
      </c>
      <c r="E318" s="20">
        <v>2.12</v>
      </c>
      <c r="F318" s="20">
        <v>0.53</v>
      </c>
      <c r="G318" s="20">
        <v>17.420000000000002</v>
      </c>
      <c r="H318" s="20">
        <v>13.84</v>
      </c>
      <c r="I318" s="20">
        <v>34.72</v>
      </c>
      <c r="J318" s="20">
        <v>944.45</v>
      </c>
      <c r="K318" s="32">
        <v>953968.92999999993</v>
      </c>
      <c r="L318" s="2"/>
    </row>
    <row r="319" spans="1:12" x14ac:dyDescent="0.25">
      <c r="A319" s="58">
        <v>46066</v>
      </c>
      <c r="B319" s="18">
        <v>0.70833333333333337</v>
      </c>
      <c r="C319" s="20">
        <v>8.14</v>
      </c>
      <c r="D319" s="20">
        <v>73.91</v>
      </c>
      <c r="E319" s="20">
        <v>2.2200000000000002</v>
      </c>
      <c r="F319" s="20">
        <v>0.56999999999999995</v>
      </c>
      <c r="G319" s="20">
        <v>17.41</v>
      </c>
      <c r="H319" s="20">
        <v>13.85</v>
      </c>
      <c r="I319" s="20">
        <v>34.76</v>
      </c>
      <c r="J319" s="20">
        <v>943.83</v>
      </c>
      <c r="K319" s="32">
        <v>956779.46</v>
      </c>
      <c r="L319" s="2"/>
    </row>
    <row r="320" spans="1:12" x14ac:dyDescent="0.25">
      <c r="A320" s="58">
        <v>46066</v>
      </c>
      <c r="B320" s="18">
        <v>0.75</v>
      </c>
      <c r="C320" s="19">
        <v>7.72</v>
      </c>
      <c r="D320" s="19">
        <v>73.53</v>
      </c>
      <c r="E320" s="19">
        <v>2.82</v>
      </c>
      <c r="F320" s="19">
        <v>0.34</v>
      </c>
      <c r="G320" s="20">
        <v>17.43</v>
      </c>
      <c r="H320" s="20">
        <v>13.84</v>
      </c>
      <c r="I320" s="20">
        <v>34.369999999999997</v>
      </c>
      <c r="J320" s="20">
        <v>943.72</v>
      </c>
      <c r="K320" s="32">
        <v>964664.81</v>
      </c>
      <c r="L320" s="2"/>
    </row>
    <row r="321" spans="1:12" x14ac:dyDescent="0.25">
      <c r="A321" s="58">
        <v>46066</v>
      </c>
      <c r="B321" s="18">
        <v>0.79166666666666663</v>
      </c>
      <c r="C321" s="19">
        <v>7.73</v>
      </c>
      <c r="D321" s="19">
        <v>73.62</v>
      </c>
      <c r="E321" s="19">
        <v>3.31</v>
      </c>
      <c r="F321" s="19">
        <v>0.55000000000000004</v>
      </c>
      <c r="G321" s="20">
        <v>17.420000000000002</v>
      </c>
      <c r="H321" s="20">
        <v>13.83</v>
      </c>
      <c r="I321" s="20">
        <v>34.33</v>
      </c>
      <c r="J321" s="20">
        <v>943.85</v>
      </c>
      <c r="K321" s="32">
        <v>952073.73</v>
      </c>
      <c r="L321" s="2"/>
    </row>
    <row r="322" spans="1:12" x14ac:dyDescent="0.25">
      <c r="A322" s="58">
        <v>46066</v>
      </c>
      <c r="B322" s="18">
        <v>0.83333333333333337</v>
      </c>
      <c r="C322" s="19">
        <v>7.52</v>
      </c>
      <c r="D322" s="19">
        <v>73.55</v>
      </c>
      <c r="E322" s="19">
        <v>2.65</v>
      </c>
      <c r="F322" s="19">
        <v>0.68</v>
      </c>
      <c r="G322" s="20">
        <v>17.43</v>
      </c>
      <c r="H322" s="20">
        <v>13.83</v>
      </c>
      <c r="I322" s="20">
        <v>34.24</v>
      </c>
      <c r="J322" s="20">
        <v>943.64</v>
      </c>
      <c r="K322" s="32">
        <v>963346.25</v>
      </c>
      <c r="L322" s="2"/>
    </row>
    <row r="323" spans="1:12" x14ac:dyDescent="0.25">
      <c r="A323" s="58">
        <v>46066</v>
      </c>
      <c r="B323" s="18">
        <v>0.875</v>
      </c>
      <c r="C323" s="19">
        <v>7.87</v>
      </c>
      <c r="D323" s="19">
        <v>73.89</v>
      </c>
      <c r="E323" s="19">
        <v>3.05</v>
      </c>
      <c r="F323" s="19">
        <v>0.41</v>
      </c>
      <c r="G323" s="20">
        <v>17.45</v>
      </c>
      <c r="H323" s="20">
        <v>13.84</v>
      </c>
      <c r="I323" s="20">
        <v>34.31</v>
      </c>
      <c r="J323" s="20">
        <v>943.6</v>
      </c>
      <c r="K323" s="32">
        <v>957094.49</v>
      </c>
      <c r="L323" s="2"/>
    </row>
    <row r="324" spans="1:12" x14ac:dyDescent="0.25">
      <c r="A324" s="58">
        <v>46066</v>
      </c>
      <c r="B324" s="18">
        <v>0.91666666666666663</v>
      </c>
      <c r="C324" s="19">
        <v>7.35</v>
      </c>
      <c r="D324" s="19">
        <v>73.97</v>
      </c>
      <c r="E324" s="19">
        <v>3.45</v>
      </c>
      <c r="F324" s="19">
        <v>0.53</v>
      </c>
      <c r="G324" s="20">
        <v>17.41</v>
      </c>
      <c r="H324" s="20">
        <v>13.85</v>
      </c>
      <c r="I324" s="20">
        <v>34.549999999999997</v>
      </c>
      <c r="J324" s="20">
        <v>943.57</v>
      </c>
      <c r="K324" s="32">
        <v>951512.55</v>
      </c>
      <c r="L324" s="2"/>
    </row>
    <row r="325" spans="1:12" ht="15.75" thickBot="1" x14ac:dyDescent="0.3">
      <c r="A325" s="60">
        <v>46066</v>
      </c>
      <c r="B325" s="35">
        <v>0.95833333333333337</v>
      </c>
      <c r="C325" s="23">
        <v>7</v>
      </c>
      <c r="D325" s="23">
        <v>74.02</v>
      </c>
      <c r="E325" s="23">
        <v>1.92</v>
      </c>
      <c r="F325" s="23">
        <v>0.57999999999999996</v>
      </c>
      <c r="G325" s="24">
        <v>17.440000000000001</v>
      </c>
      <c r="H325" s="24">
        <v>13.84</v>
      </c>
      <c r="I325" s="24">
        <v>34.6</v>
      </c>
      <c r="J325" s="24">
        <v>943.92</v>
      </c>
      <c r="K325" s="36">
        <v>945135.07000000007</v>
      </c>
      <c r="L325" s="2"/>
    </row>
    <row r="326" spans="1:12" ht="15.75" thickBot="1" x14ac:dyDescent="0.3">
      <c r="A326" s="26" t="s">
        <v>57</v>
      </c>
      <c r="B326" s="44"/>
      <c r="C326" s="45">
        <f t="shared" ref="C326:K326" si="12">IFERROR(ROUND(AVERAGE(C302:C325), 2), "")</f>
        <v>7.6</v>
      </c>
      <c r="D326" s="45">
        <f t="shared" si="12"/>
        <v>74.98</v>
      </c>
      <c r="E326" s="45">
        <f t="shared" si="12"/>
        <v>1.86</v>
      </c>
      <c r="F326" s="45">
        <f t="shared" si="12"/>
        <v>0.27</v>
      </c>
      <c r="G326" s="45">
        <f t="shared" si="12"/>
        <v>17.41</v>
      </c>
      <c r="H326" s="45">
        <f t="shared" si="12"/>
        <v>13.76</v>
      </c>
      <c r="I326" s="45">
        <f t="shared" si="12"/>
        <v>33.11</v>
      </c>
      <c r="J326" s="45">
        <f t="shared" si="12"/>
        <v>944.93</v>
      </c>
      <c r="K326" s="46">
        <f t="shared" si="12"/>
        <v>961089.79</v>
      </c>
      <c r="L326" s="7"/>
    </row>
    <row r="327" spans="1:12" x14ac:dyDescent="0.25">
      <c r="A327" s="57">
        <v>46067</v>
      </c>
      <c r="B327" s="14">
        <v>0</v>
      </c>
      <c r="C327" s="15">
        <v>7.01</v>
      </c>
      <c r="D327" s="15">
        <v>73.89</v>
      </c>
      <c r="E327" s="15">
        <v>1.64</v>
      </c>
      <c r="F327" s="15">
        <v>0.44</v>
      </c>
      <c r="G327" s="15">
        <v>17.43</v>
      </c>
      <c r="H327" s="16">
        <v>13.84</v>
      </c>
      <c r="I327" s="16">
        <v>34.549999999999997</v>
      </c>
      <c r="J327" s="16">
        <v>944.16</v>
      </c>
      <c r="K327" s="17">
        <v>945793.27</v>
      </c>
      <c r="L327" s="2"/>
    </row>
    <row r="328" spans="1:12" x14ac:dyDescent="0.25">
      <c r="A328" s="58">
        <v>46067</v>
      </c>
      <c r="B328" s="18">
        <v>4.1666666666666664E-2</v>
      </c>
      <c r="C328" s="19">
        <v>7.33</v>
      </c>
      <c r="D328" s="19">
        <v>74.44</v>
      </c>
      <c r="E328" s="19">
        <v>1.31</v>
      </c>
      <c r="F328" s="19">
        <v>0.47</v>
      </c>
      <c r="G328" s="19">
        <v>17.41</v>
      </c>
      <c r="H328" s="20">
        <v>13.82</v>
      </c>
      <c r="I328" s="20">
        <v>34.340000000000003</v>
      </c>
      <c r="J328" s="20">
        <v>944.52</v>
      </c>
      <c r="K328" s="21">
        <v>953694.60000000009</v>
      </c>
      <c r="L328" s="1"/>
    </row>
    <row r="329" spans="1:12" x14ac:dyDescent="0.25">
      <c r="A329" s="58">
        <v>46067</v>
      </c>
      <c r="B329" s="18">
        <v>8.3333333333333329E-2</v>
      </c>
      <c r="C329" s="19">
        <v>7.21</v>
      </c>
      <c r="D329" s="19">
        <v>73.55</v>
      </c>
      <c r="E329" s="19">
        <v>1.75</v>
      </c>
      <c r="F329" s="19">
        <v>0.65</v>
      </c>
      <c r="G329" s="19">
        <v>17.41</v>
      </c>
      <c r="H329" s="20">
        <v>13.8</v>
      </c>
      <c r="I329" s="20">
        <v>34.11</v>
      </c>
      <c r="J329" s="20">
        <v>945.17</v>
      </c>
      <c r="K329" s="21">
        <v>951239.75</v>
      </c>
      <c r="L329" s="1"/>
    </row>
    <row r="330" spans="1:12" x14ac:dyDescent="0.25">
      <c r="A330" s="58">
        <v>46067</v>
      </c>
      <c r="B330" s="18">
        <v>0.125</v>
      </c>
      <c r="C330" s="19">
        <v>7.93</v>
      </c>
      <c r="D330" s="19">
        <v>74.739999999999995</v>
      </c>
      <c r="E330" s="19">
        <v>1.7</v>
      </c>
      <c r="F330" s="19">
        <v>0.6</v>
      </c>
      <c r="G330" s="19">
        <v>17.399999999999999</v>
      </c>
      <c r="H330" s="20">
        <v>13.79</v>
      </c>
      <c r="I330" s="20">
        <v>34.090000000000003</v>
      </c>
      <c r="J330" s="20">
        <v>945.79</v>
      </c>
      <c r="K330" s="21">
        <v>952124.34000000008</v>
      </c>
      <c r="L330" s="1"/>
    </row>
    <row r="331" spans="1:12" x14ac:dyDescent="0.25">
      <c r="A331" s="58">
        <v>46067</v>
      </c>
      <c r="B331" s="18">
        <v>0.16666666666666666</v>
      </c>
      <c r="C331" s="19">
        <v>8.56</v>
      </c>
      <c r="D331" s="19">
        <v>75.319999999999993</v>
      </c>
      <c r="E331" s="19">
        <v>2.37</v>
      </c>
      <c r="F331" s="19">
        <v>1.1200000000000001</v>
      </c>
      <c r="G331" s="19">
        <v>17.41</v>
      </c>
      <c r="H331" s="20">
        <v>13.78</v>
      </c>
      <c r="I331" s="20">
        <v>33.99</v>
      </c>
      <c r="J331" s="20">
        <v>946.29</v>
      </c>
      <c r="K331" s="21">
        <v>957086.54</v>
      </c>
      <c r="L331" s="1"/>
    </row>
    <row r="332" spans="1:12" x14ac:dyDescent="0.25">
      <c r="A332" s="58">
        <v>46067</v>
      </c>
      <c r="B332" s="18">
        <v>0.20833333333333334</v>
      </c>
      <c r="C332" s="19">
        <v>6.85</v>
      </c>
      <c r="D332" s="19">
        <v>74.849999999999994</v>
      </c>
      <c r="E332" s="19">
        <v>1.91</v>
      </c>
      <c r="F332" s="19">
        <v>0.51</v>
      </c>
      <c r="G332" s="19">
        <v>17.350000000000001</v>
      </c>
      <c r="H332" s="20">
        <v>13.77</v>
      </c>
      <c r="I332" s="20">
        <v>33.78</v>
      </c>
      <c r="J332" s="20">
        <v>946.56</v>
      </c>
      <c r="K332" s="21">
        <v>927284.87999999989</v>
      </c>
      <c r="L332" s="1"/>
    </row>
    <row r="333" spans="1:12" x14ac:dyDescent="0.25">
      <c r="A333" s="58">
        <v>46067</v>
      </c>
      <c r="B333" s="18">
        <v>0.25</v>
      </c>
      <c r="C333" s="19">
        <v>7.37</v>
      </c>
      <c r="D333" s="19">
        <v>75.209999999999994</v>
      </c>
      <c r="E333" s="19">
        <v>2.2599999999999998</v>
      </c>
      <c r="F333" s="19">
        <v>0.48</v>
      </c>
      <c r="G333" s="19">
        <v>17.350000000000001</v>
      </c>
      <c r="H333" s="20">
        <v>13.74</v>
      </c>
      <c r="I333" s="20">
        <v>33.31</v>
      </c>
      <c r="J333" s="20">
        <v>947.09</v>
      </c>
      <c r="K333" s="21">
        <v>933113.59000000008</v>
      </c>
      <c r="L333" s="2"/>
    </row>
    <row r="334" spans="1:12" x14ac:dyDescent="0.25">
      <c r="A334" s="58">
        <v>46067</v>
      </c>
      <c r="B334" s="18">
        <v>0.29166666666666669</v>
      </c>
      <c r="C334" s="19">
        <v>6.69</v>
      </c>
      <c r="D334" s="19">
        <v>74.22</v>
      </c>
      <c r="E334" s="19">
        <v>1.84</v>
      </c>
      <c r="F334" s="19">
        <v>0.82</v>
      </c>
      <c r="G334" s="19">
        <v>17.34</v>
      </c>
      <c r="H334" s="20">
        <v>13.72</v>
      </c>
      <c r="I334" s="20">
        <v>33.06</v>
      </c>
      <c r="J334" s="20">
        <v>947.55</v>
      </c>
      <c r="K334" s="21">
        <v>934553.46</v>
      </c>
      <c r="L334" s="2"/>
    </row>
    <row r="335" spans="1:12" x14ac:dyDescent="0.25">
      <c r="A335" s="58">
        <v>46067</v>
      </c>
      <c r="B335" s="18">
        <v>0.33333333333333331</v>
      </c>
      <c r="C335" s="19">
        <v>7.46</v>
      </c>
      <c r="D335" s="19">
        <v>75.209999999999994</v>
      </c>
      <c r="E335" s="19">
        <v>1.1399999999999999</v>
      </c>
      <c r="F335" s="19">
        <v>1.54</v>
      </c>
      <c r="G335" s="19">
        <v>17.32</v>
      </c>
      <c r="H335" s="20">
        <v>13.73</v>
      </c>
      <c r="I335" s="20">
        <v>33.26</v>
      </c>
      <c r="J335" s="20">
        <v>947.75</v>
      </c>
      <c r="K335" s="21">
        <v>940291.6100000001</v>
      </c>
      <c r="L335" s="2"/>
    </row>
    <row r="336" spans="1:12" x14ac:dyDescent="0.25">
      <c r="A336" s="58">
        <v>46067</v>
      </c>
      <c r="B336" s="18">
        <v>0.375</v>
      </c>
      <c r="C336" s="19">
        <v>7.91</v>
      </c>
      <c r="D336" s="19">
        <v>75.36</v>
      </c>
      <c r="E336" s="19">
        <v>1.54</v>
      </c>
      <c r="F336" s="19">
        <v>2.14</v>
      </c>
      <c r="G336" s="19">
        <v>17.34</v>
      </c>
      <c r="H336" s="20">
        <v>13.75</v>
      </c>
      <c r="I336" s="20">
        <v>33.840000000000003</v>
      </c>
      <c r="J336" s="20">
        <v>948.21</v>
      </c>
      <c r="K336" s="21">
        <v>927859.6100000001</v>
      </c>
      <c r="L336" s="2"/>
    </row>
    <row r="337" spans="1:12" x14ac:dyDescent="0.25">
      <c r="A337" s="58">
        <v>46067</v>
      </c>
      <c r="B337" s="18">
        <v>0.41666666666666669</v>
      </c>
      <c r="C337" s="19">
        <v>7.58</v>
      </c>
      <c r="D337" s="19">
        <v>75.41</v>
      </c>
      <c r="E337" s="19">
        <v>2.54</v>
      </c>
      <c r="F337" s="19">
        <v>1.67</v>
      </c>
      <c r="G337" s="19">
        <v>17.36</v>
      </c>
      <c r="H337" s="20">
        <v>13.76</v>
      </c>
      <c r="I337" s="20">
        <v>34.43</v>
      </c>
      <c r="J337" s="20">
        <v>948.86</v>
      </c>
      <c r="K337" s="21">
        <v>947476.37999999989</v>
      </c>
      <c r="L337" s="2"/>
    </row>
    <row r="338" spans="1:12" x14ac:dyDescent="0.25">
      <c r="A338" s="58">
        <v>46067</v>
      </c>
      <c r="B338" s="18">
        <v>0.45833333333333331</v>
      </c>
      <c r="C338" s="19">
        <v>7.3</v>
      </c>
      <c r="D338" s="19">
        <v>75.12</v>
      </c>
      <c r="E338" s="19">
        <v>2.67</v>
      </c>
      <c r="F338" s="19">
        <v>1.7</v>
      </c>
      <c r="G338" s="19">
        <v>17.38</v>
      </c>
      <c r="H338" s="20">
        <v>13.81</v>
      </c>
      <c r="I338" s="20">
        <v>35.47</v>
      </c>
      <c r="J338" s="20">
        <v>948.73</v>
      </c>
      <c r="K338" s="21">
        <v>930062.98</v>
      </c>
      <c r="L338" s="2"/>
    </row>
    <row r="339" spans="1:12" x14ac:dyDescent="0.25">
      <c r="A339" s="58">
        <v>46067</v>
      </c>
      <c r="B339" s="18">
        <v>0.5</v>
      </c>
      <c r="C339" s="19">
        <v>7.6</v>
      </c>
      <c r="D339" s="19">
        <v>76.34</v>
      </c>
      <c r="E339" s="19">
        <v>1.81</v>
      </c>
      <c r="F339" s="19">
        <v>0.48</v>
      </c>
      <c r="G339" s="19">
        <v>17.38</v>
      </c>
      <c r="H339" s="20">
        <v>13.87</v>
      </c>
      <c r="I339" s="20">
        <v>36.47</v>
      </c>
      <c r="J339" s="20">
        <v>948.16</v>
      </c>
      <c r="K339" s="21">
        <v>936081.3899999999</v>
      </c>
      <c r="L339" s="2"/>
    </row>
    <row r="340" spans="1:12" x14ac:dyDescent="0.25">
      <c r="A340" s="58">
        <v>46067</v>
      </c>
      <c r="B340" s="18">
        <v>0.54166666666666663</v>
      </c>
      <c r="C340" s="19">
        <v>6.81</v>
      </c>
      <c r="D340" s="19">
        <v>76.05</v>
      </c>
      <c r="E340" s="19">
        <v>2.93</v>
      </c>
      <c r="F340" s="19">
        <v>0.17</v>
      </c>
      <c r="G340" s="19">
        <v>17.37</v>
      </c>
      <c r="H340" s="20">
        <v>13.89</v>
      </c>
      <c r="I340" s="20">
        <v>36.840000000000003</v>
      </c>
      <c r="J340" s="20">
        <v>947.93</v>
      </c>
      <c r="K340" s="21">
        <v>927901.12000000011</v>
      </c>
      <c r="L340" s="2"/>
    </row>
    <row r="341" spans="1:12" x14ac:dyDescent="0.25">
      <c r="A341" s="58">
        <v>46067</v>
      </c>
      <c r="B341" s="18">
        <v>0.58333333333333337</v>
      </c>
      <c r="C341" s="19">
        <v>6.82</v>
      </c>
      <c r="D341" s="19">
        <v>75.739999999999995</v>
      </c>
      <c r="E341" s="19">
        <v>2.89</v>
      </c>
      <c r="F341" s="19">
        <v>0.23</v>
      </c>
      <c r="G341" s="19">
        <v>17.399999999999999</v>
      </c>
      <c r="H341" s="20">
        <v>13.89</v>
      </c>
      <c r="I341" s="20">
        <v>36.82</v>
      </c>
      <c r="J341" s="20">
        <v>947.82</v>
      </c>
      <c r="K341" s="21">
        <v>929237.23</v>
      </c>
      <c r="L341" s="2"/>
    </row>
    <row r="342" spans="1:12" x14ac:dyDescent="0.25">
      <c r="A342" s="58">
        <v>46067</v>
      </c>
      <c r="B342" s="18">
        <v>0.625</v>
      </c>
      <c r="C342" s="19">
        <v>7.29</v>
      </c>
      <c r="D342" s="19">
        <v>76.03</v>
      </c>
      <c r="E342" s="19">
        <v>2.4</v>
      </c>
      <c r="F342" s="19">
        <v>0.13</v>
      </c>
      <c r="G342" s="19">
        <v>17.41</v>
      </c>
      <c r="H342" s="20">
        <v>13.88</v>
      </c>
      <c r="I342" s="20">
        <v>36.58</v>
      </c>
      <c r="J342" s="20">
        <v>947.42</v>
      </c>
      <c r="K342" s="21">
        <v>942033.26</v>
      </c>
      <c r="L342" s="2"/>
    </row>
    <row r="343" spans="1:12" x14ac:dyDescent="0.25">
      <c r="A343" s="58">
        <v>46067</v>
      </c>
      <c r="B343" s="18">
        <v>0.66666666666666663</v>
      </c>
      <c r="C343" s="19">
        <v>7.11</v>
      </c>
      <c r="D343" s="19">
        <v>76.319999999999993</v>
      </c>
      <c r="E343" s="19">
        <v>2.83</v>
      </c>
      <c r="F343" s="19">
        <v>0.14000000000000001</v>
      </c>
      <c r="G343" s="19">
        <v>17.399999999999999</v>
      </c>
      <c r="H343" s="20">
        <v>13.86</v>
      </c>
      <c r="I343" s="20">
        <v>35.9</v>
      </c>
      <c r="J343" s="20">
        <v>947.2</v>
      </c>
      <c r="K343" s="21">
        <v>951359.33000000007</v>
      </c>
      <c r="L343" s="2"/>
    </row>
    <row r="344" spans="1:12" x14ac:dyDescent="0.25">
      <c r="A344" s="58">
        <v>46067</v>
      </c>
      <c r="B344" s="18">
        <v>0.70833333333333337</v>
      </c>
      <c r="C344" s="19">
        <v>6.97</v>
      </c>
      <c r="D344" s="19">
        <v>76.290000000000006</v>
      </c>
      <c r="E344" s="19">
        <v>2.16</v>
      </c>
      <c r="F344" s="19">
        <v>0.21</v>
      </c>
      <c r="G344" s="19">
        <v>17.39</v>
      </c>
      <c r="H344" s="20">
        <v>13.85</v>
      </c>
      <c r="I344" s="20">
        <v>35.74</v>
      </c>
      <c r="J344" s="20">
        <v>947.03</v>
      </c>
      <c r="K344" s="21">
        <v>938958.66999999993</v>
      </c>
      <c r="L344" s="2"/>
    </row>
    <row r="345" spans="1:12" x14ac:dyDescent="0.25">
      <c r="A345" s="58">
        <v>46067</v>
      </c>
      <c r="B345" s="18">
        <v>0.75</v>
      </c>
      <c r="C345" s="19">
        <v>6.77</v>
      </c>
      <c r="D345" s="19">
        <v>76.25</v>
      </c>
      <c r="E345" s="19">
        <v>2.23</v>
      </c>
      <c r="F345" s="19">
        <v>0.09</v>
      </c>
      <c r="G345" s="19">
        <v>17.399999999999999</v>
      </c>
      <c r="H345" s="20">
        <v>13.85</v>
      </c>
      <c r="I345" s="20">
        <v>35.520000000000003</v>
      </c>
      <c r="J345" s="20">
        <v>946.59</v>
      </c>
      <c r="K345" s="21">
        <v>939294.21</v>
      </c>
      <c r="L345" s="2"/>
    </row>
    <row r="346" spans="1:12" x14ac:dyDescent="0.25">
      <c r="A346" s="58">
        <v>46067</v>
      </c>
      <c r="B346" s="18">
        <v>0.79166666666666663</v>
      </c>
      <c r="C346" s="19">
        <v>7.97</v>
      </c>
      <c r="D346" s="19">
        <v>77.040000000000006</v>
      </c>
      <c r="E346" s="19">
        <v>2.4700000000000002</v>
      </c>
      <c r="F346" s="19">
        <v>0.21</v>
      </c>
      <c r="G346" s="19">
        <v>17.41</v>
      </c>
      <c r="H346" s="20">
        <v>13.84</v>
      </c>
      <c r="I346" s="20">
        <v>35.17</v>
      </c>
      <c r="J346" s="20">
        <v>946.19</v>
      </c>
      <c r="K346" s="21">
        <v>946760.48</v>
      </c>
      <c r="L346" s="2"/>
    </row>
    <row r="347" spans="1:12" x14ac:dyDescent="0.25">
      <c r="A347" s="58">
        <v>46067</v>
      </c>
      <c r="B347" s="18">
        <v>0.83333333333333337</v>
      </c>
      <c r="C347" s="19">
        <v>6.4</v>
      </c>
      <c r="D347" s="19">
        <v>76.58</v>
      </c>
      <c r="E347" s="19">
        <v>2.56</v>
      </c>
      <c r="F347" s="19">
        <v>0.16</v>
      </c>
      <c r="G347" s="19">
        <v>17.420000000000002</v>
      </c>
      <c r="H347" s="20">
        <v>13.84</v>
      </c>
      <c r="I347" s="20">
        <v>35.08</v>
      </c>
      <c r="J347" s="20">
        <v>945.74</v>
      </c>
      <c r="K347" s="21">
        <v>943856.52</v>
      </c>
      <c r="L347" s="2"/>
    </row>
    <row r="348" spans="1:12" x14ac:dyDescent="0.25">
      <c r="A348" s="58">
        <v>46067</v>
      </c>
      <c r="B348" s="18">
        <v>0.875</v>
      </c>
      <c r="C348" s="19">
        <v>7.55</v>
      </c>
      <c r="D348" s="19">
        <v>77.510000000000005</v>
      </c>
      <c r="E348" s="19">
        <v>2.5299999999999998</v>
      </c>
      <c r="F348" s="19">
        <v>0.43</v>
      </c>
      <c r="G348" s="19">
        <v>17.39</v>
      </c>
      <c r="H348" s="20">
        <v>13.85</v>
      </c>
      <c r="I348" s="20">
        <v>35.06</v>
      </c>
      <c r="J348" s="20">
        <v>945.22</v>
      </c>
      <c r="K348" s="21">
        <v>944170.96</v>
      </c>
      <c r="L348" s="2"/>
    </row>
    <row r="349" spans="1:12" x14ac:dyDescent="0.25">
      <c r="A349" s="58">
        <v>46067</v>
      </c>
      <c r="B349" s="18">
        <v>0.91666666666666663</v>
      </c>
      <c r="C349" s="19">
        <v>7.11</v>
      </c>
      <c r="D349" s="19">
        <v>77.62</v>
      </c>
      <c r="E349" s="19">
        <v>2.99</v>
      </c>
      <c r="F349" s="19">
        <v>0.19</v>
      </c>
      <c r="G349" s="19">
        <v>17.38</v>
      </c>
      <c r="H349" s="20">
        <v>13.84</v>
      </c>
      <c r="I349" s="20">
        <v>34.880000000000003</v>
      </c>
      <c r="J349" s="20">
        <v>945.06</v>
      </c>
      <c r="K349" s="21">
        <v>951224.26</v>
      </c>
      <c r="L349" s="2"/>
    </row>
    <row r="350" spans="1:12" ht="15.75" thickBot="1" x14ac:dyDescent="0.3">
      <c r="A350" s="60">
        <v>46067</v>
      </c>
      <c r="B350" s="35">
        <v>0.95833333333333337</v>
      </c>
      <c r="C350" s="23">
        <v>7.13</v>
      </c>
      <c r="D350" s="23">
        <v>77.260000000000005</v>
      </c>
      <c r="E350" s="23">
        <v>2.9</v>
      </c>
      <c r="F350" s="23">
        <v>0.35</v>
      </c>
      <c r="G350" s="23">
        <v>17.350000000000001</v>
      </c>
      <c r="H350" s="24">
        <v>13.85</v>
      </c>
      <c r="I350" s="24">
        <v>35.14</v>
      </c>
      <c r="J350" s="24">
        <v>944.86</v>
      </c>
      <c r="K350" s="25">
        <v>944011.95</v>
      </c>
      <c r="L350" s="2"/>
    </row>
    <row r="351" spans="1:12" ht="15.75" thickBot="1" x14ac:dyDescent="0.3">
      <c r="A351" s="26" t="s">
        <v>58</v>
      </c>
      <c r="B351" s="44"/>
      <c r="C351" s="45">
        <f t="shared" ref="C351:K351" si="13">IFERROR(ROUND(AVERAGE(C327:C350), 2), "")</f>
        <v>7.28</v>
      </c>
      <c r="D351" s="45">
        <f t="shared" si="13"/>
        <v>75.680000000000007</v>
      </c>
      <c r="E351" s="45">
        <f t="shared" si="13"/>
        <v>2.2200000000000002</v>
      </c>
      <c r="F351" s="45">
        <f t="shared" si="13"/>
        <v>0.62</v>
      </c>
      <c r="G351" s="45">
        <f t="shared" si="13"/>
        <v>17.38</v>
      </c>
      <c r="H351" s="45">
        <f t="shared" si="13"/>
        <v>13.82</v>
      </c>
      <c r="I351" s="45">
        <f t="shared" si="13"/>
        <v>34.89</v>
      </c>
      <c r="J351" s="45">
        <f t="shared" si="13"/>
        <v>946.66</v>
      </c>
      <c r="K351" s="46">
        <f t="shared" si="13"/>
        <v>941477.93</v>
      </c>
      <c r="L351" s="7"/>
    </row>
    <row r="352" spans="1:12" x14ac:dyDescent="0.25">
      <c r="A352" s="57">
        <v>46068</v>
      </c>
      <c r="B352" s="14">
        <v>0</v>
      </c>
      <c r="C352" s="15">
        <v>6.74</v>
      </c>
      <c r="D352" s="15">
        <v>78.11</v>
      </c>
      <c r="E352" s="15">
        <v>2.89</v>
      </c>
      <c r="F352" s="15">
        <v>0.51</v>
      </c>
      <c r="G352" s="15">
        <v>17.38</v>
      </c>
      <c r="H352" s="16">
        <v>13.85</v>
      </c>
      <c r="I352" s="16">
        <v>34.79</v>
      </c>
      <c r="J352" s="16">
        <v>944.37</v>
      </c>
      <c r="K352" s="17">
        <v>930529.49</v>
      </c>
      <c r="L352" s="2"/>
    </row>
    <row r="353" spans="1:12" x14ac:dyDescent="0.25">
      <c r="A353" s="58">
        <v>46068</v>
      </c>
      <c r="B353" s="18">
        <v>4.1666666666666664E-2</v>
      </c>
      <c r="C353" s="19">
        <v>6.99</v>
      </c>
      <c r="D353" s="19">
        <v>76.55</v>
      </c>
      <c r="E353" s="19">
        <v>2.83</v>
      </c>
      <c r="F353" s="19">
        <v>0.33</v>
      </c>
      <c r="G353" s="19">
        <v>17.32</v>
      </c>
      <c r="H353" s="20">
        <v>13.87</v>
      </c>
      <c r="I353" s="20">
        <v>35.01</v>
      </c>
      <c r="J353" s="20">
        <v>943.59</v>
      </c>
      <c r="K353" s="21">
        <v>927014.66999999993</v>
      </c>
      <c r="L353" s="2"/>
    </row>
    <row r="354" spans="1:12" x14ac:dyDescent="0.25">
      <c r="A354" s="58">
        <v>46068</v>
      </c>
      <c r="B354" s="18">
        <v>8.3333333333333329E-2</v>
      </c>
      <c r="C354" s="19">
        <v>8.65</v>
      </c>
      <c r="D354" s="19">
        <v>76.95</v>
      </c>
      <c r="E354" s="19">
        <v>2.88</v>
      </c>
      <c r="F354" s="19">
        <v>0.28000000000000003</v>
      </c>
      <c r="G354" s="19">
        <v>17.309999999999999</v>
      </c>
      <c r="H354" s="20">
        <v>13.87</v>
      </c>
      <c r="I354" s="20">
        <v>35.020000000000003</v>
      </c>
      <c r="J354" s="20">
        <v>943.33</v>
      </c>
      <c r="K354" s="21">
        <v>928313.3899999999</v>
      </c>
      <c r="L354" s="2"/>
    </row>
    <row r="355" spans="1:12" x14ac:dyDescent="0.25">
      <c r="A355" s="58">
        <v>46068</v>
      </c>
      <c r="B355" s="18">
        <v>0.125</v>
      </c>
      <c r="C355" s="19">
        <v>6.81</v>
      </c>
      <c r="D355" s="19">
        <v>76.16</v>
      </c>
      <c r="E355" s="19">
        <v>2.6</v>
      </c>
      <c r="F355" s="19">
        <v>0.5</v>
      </c>
      <c r="G355" s="19">
        <v>17.32</v>
      </c>
      <c r="H355" s="20">
        <v>13.88</v>
      </c>
      <c r="I355" s="20">
        <v>35.01</v>
      </c>
      <c r="J355" s="20">
        <v>942.83</v>
      </c>
      <c r="K355" s="21">
        <v>928948.81</v>
      </c>
      <c r="L355" s="2"/>
    </row>
    <row r="356" spans="1:12" x14ac:dyDescent="0.25">
      <c r="A356" s="58">
        <v>46068</v>
      </c>
      <c r="B356" s="18">
        <v>0.16666666666666666</v>
      </c>
      <c r="C356" s="19">
        <v>7.69</v>
      </c>
      <c r="D356" s="19">
        <v>76.48</v>
      </c>
      <c r="E356" s="19">
        <v>2.78</v>
      </c>
      <c r="F356" s="19">
        <v>0.51</v>
      </c>
      <c r="G356" s="19">
        <v>17.350000000000001</v>
      </c>
      <c r="H356" s="20">
        <v>13.88</v>
      </c>
      <c r="I356" s="20">
        <v>34.770000000000003</v>
      </c>
      <c r="J356" s="20">
        <v>942.26</v>
      </c>
      <c r="K356" s="21">
        <v>934228.01</v>
      </c>
      <c r="L356" s="2"/>
    </row>
    <row r="357" spans="1:12" x14ac:dyDescent="0.25">
      <c r="A357" s="58">
        <v>46068</v>
      </c>
      <c r="B357" s="18">
        <v>0.20833333333333334</v>
      </c>
      <c r="C357" s="19">
        <v>6.56</v>
      </c>
      <c r="D357" s="19">
        <v>75.31</v>
      </c>
      <c r="E357" s="19">
        <v>2.15</v>
      </c>
      <c r="F357" s="19">
        <v>0.73</v>
      </c>
      <c r="G357" s="19">
        <v>17.34</v>
      </c>
      <c r="H357" s="20">
        <v>13.89</v>
      </c>
      <c r="I357" s="20">
        <v>34.92</v>
      </c>
      <c r="J357" s="20">
        <v>942.03</v>
      </c>
      <c r="K357" s="21">
        <v>939706.04</v>
      </c>
      <c r="L357" s="2"/>
    </row>
    <row r="358" spans="1:12" x14ac:dyDescent="0.25">
      <c r="A358" s="58">
        <v>46068</v>
      </c>
      <c r="B358" s="18">
        <v>0.25</v>
      </c>
      <c r="C358" s="19">
        <v>6.25</v>
      </c>
      <c r="D358" s="19">
        <v>72.39</v>
      </c>
      <c r="E358" s="19">
        <v>2.59</v>
      </c>
      <c r="F358" s="19">
        <v>1.26</v>
      </c>
      <c r="G358" s="19">
        <v>17.32</v>
      </c>
      <c r="H358" s="20">
        <v>13.88</v>
      </c>
      <c r="I358" s="20">
        <v>34.9</v>
      </c>
      <c r="J358" s="20">
        <v>942.09</v>
      </c>
      <c r="K358" s="21">
        <v>927101.1399999999</v>
      </c>
      <c r="L358" s="2"/>
    </row>
    <row r="359" spans="1:12" x14ac:dyDescent="0.25">
      <c r="A359" s="58">
        <v>46068</v>
      </c>
      <c r="B359" s="18">
        <v>0.29166666666666669</v>
      </c>
      <c r="C359" s="19">
        <v>6.65</v>
      </c>
      <c r="D359" s="19">
        <v>72.44</v>
      </c>
      <c r="E359" s="19">
        <v>2.74</v>
      </c>
      <c r="F359" s="19">
        <v>2.16</v>
      </c>
      <c r="G359" s="19">
        <v>17.29</v>
      </c>
      <c r="H359" s="20">
        <v>13.89</v>
      </c>
      <c r="I359" s="20">
        <v>35.020000000000003</v>
      </c>
      <c r="J359" s="20">
        <v>942.16</v>
      </c>
      <c r="K359" s="21">
        <v>920504.79</v>
      </c>
      <c r="L359" s="2"/>
    </row>
    <row r="360" spans="1:12" x14ac:dyDescent="0.25">
      <c r="A360" s="58">
        <v>46068</v>
      </c>
      <c r="B360" s="18">
        <v>0.33333333333333331</v>
      </c>
      <c r="C360" s="19">
        <v>7.63</v>
      </c>
      <c r="D360" s="19">
        <v>72.69</v>
      </c>
      <c r="E360" s="19">
        <v>2.96</v>
      </c>
      <c r="F360" s="19">
        <v>2.61</v>
      </c>
      <c r="G360" s="19">
        <v>17.29</v>
      </c>
      <c r="H360" s="20">
        <v>13.88</v>
      </c>
      <c r="I360" s="20">
        <v>34.979999999999997</v>
      </c>
      <c r="J360" s="20">
        <v>942.34</v>
      </c>
      <c r="K360" s="21">
        <v>917894.95</v>
      </c>
      <c r="L360" s="2"/>
    </row>
    <row r="361" spans="1:12" x14ac:dyDescent="0.25">
      <c r="A361" s="58">
        <v>46068</v>
      </c>
      <c r="B361" s="18">
        <v>0.375</v>
      </c>
      <c r="C361" s="19">
        <v>7.1</v>
      </c>
      <c r="D361" s="19">
        <v>72.42</v>
      </c>
      <c r="E361" s="19">
        <v>2.4700000000000002</v>
      </c>
      <c r="F361" s="19">
        <v>2.2400000000000002</v>
      </c>
      <c r="G361" s="19">
        <v>17.25</v>
      </c>
      <c r="H361" s="20">
        <v>13.91</v>
      </c>
      <c r="I361" s="20">
        <v>35.6</v>
      </c>
      <c r="J361" s="20">
        <v>942.76</v>
      </c>
      <c r="K361" s="21">
        <v>894914.3</v>
      </c>
      <c r="L361" s="2"/>
    </row>
    <row r="362" spans="1:12" x14ac:dyDescent="0.25">
      <c r="A362" s="58">
        <v>46068</v>
      </c>
      <c r="B362" s="18">
        <v>0.41666666666666669</v>
      </c>
      <c r="C362" s="19">
        <v>7.26</v>
      </c>
      <c r="D362" s="19">
        <v>72.400000000000006</v>
      </c>
      <c r="E362" s="19">
        <v>1.98</v>
      </c>
      <c r="F362" s="19">
        <v>2.86</v>
      </c>
      <c r="G362" s="19">
        <v>17.32</v>
      </c>
      <c r="H362" s="20">
        <v>13.91</v>
      </c>
      <c r="I362" s="20">
        <v>35.92</v>
      </c>
      <c r="J362" s="20">
        <v>943.4</v>
      </c>
      <c r="K362" s="21">
        <v>914709.07000000007</v>
      </c>
      <c r="L362" s="2"/>
    </row>
    <row r="363" spans="1:12" x14ac:dyDescent="0.25">
      <c r="A363" s="58">
        <v>46068</v>
      </c>
      <c r="B363" s="18">
        <v>0.45833333333333331</v>
      </c>
      <c r="C363" s="19">
        <v>7.23</v>
      </c>
      <c r="D363" s="19">
        <v>72.86</v>
      </c>
      <c r="E363" s="19">
        <v>2.21</v>
      </c>
      <c r="F363" s="19">
        <v>2.88</v>
      </c>
      <c r="G363" s="19">
        <v>17.32</v>
      </c>
      <c r="H363" s="20">
        <v>13.94</v>
      </c>
      <c r="I363" s="20">
        <v>36.770000000000003</v>
      </c>
      <c r="J363" s="20">
        <v>943.91</v>
      </c>
      <c r="K363" s="21">
        <v>907256.26</v>
      </c>
      <c r="L363" s="2"/>
    </row>
    <row r="364" spans="1:12" x14ac:dyDescent="0.25">
      <c r="A364" s="58">
        <v>46068</v>
      </c>
      <c r="B364" s="18">
        <v>0.5</v>
      </c>
      <c r="C364" s="19">
        <v>7.45</v>
      </c>
      <c r="D364" s="19">
        <v>72.62</v>
      </c>
      <c r="E364" s="19">
        <v>2.2799999999999998</v>
      </c>
      <c r="F364" s="19">
        <v>4.4000000000000004</v>
      </c>
      <c r="G364" s="19">
        <v>17.32</v>
      </c>
      <c r="H364" s="20">
        <v>13.97</v>
      </c>
      <c r="I364" s="20">
        <v>37.49</v>
      </c>
      <c r="J364" s="20">
        <v>944.18</v>
      </c>
      <c r="K364" s="21">
        <v>912660.37999999989</v>
      </c>
      <c r="L364" s="2"/>
    </row>
    <row r="365" spans="1:12" x14ac:dyDescent="0.25">
      <c r="A365" s="58">
        <v>46068</v>
      </c>
      <c r="B365" s="18">
        <v>0.54166666666666663</v>
      </c>
      <c r="C365" s="19">
        <v>7.12</v>
      </c>
      <c r="D365" s="19">
        <v>73.16</v>
      </c>
      <c r="E365" s="19">
        <v>2.08</v>
      </c>
      <c r="F365" s="19">
        <v>3.08</v>
      </c>
      <c r="G365" s="19">
        <v>17.329999999999998</v>
      </c>
      <c r="H365" s="20">
        <v>14</v>
      </c>
      <c r="I365" s="20">
        <v>38.19</v>
      </c>
      <c r="J365" s="20">
        <v>944.51</v>
      </c>
      <c r="K365" s="21">
        <v>911916.82000000007</v>
      </c>
      <c r="L365" s="2"/>
    </row>
    <row r="366" spans="1:12" x14ac:dyDescent="0.25">
      <c r="A366" s="58">
        <v>46068</v>
      </c>
      <c r="B366" s="18">
        <v>0.58333333333333337</v>
      </c>
      <c r="C366" s="19">
        <v>5.22</v>
      </c>
      <c r="D366" s="19">
        <v>72.180000000000007</v>
      </c>
      <c r="E366" s="19">
        <v>1.72</v>
      </c>
      <c r="F366" s="19">
        <v>4.9800000000000004</v>
      </c>
      <c r="G366" s="19">
        <v>17.34</v>
      </c>
      <c r="H366" s="20">
        <v>14.03</v>
      </c>
      <c r="I366" s="20">
        <v>38.96</v>
      </c>
      <c r="J366" s="20">
        <v>944.82</v>
      </c>
      <c r="K366" s="21">
        <v>909065.45</v>
      </c>
      <c r="L366" s="2"/>
    </row>
    <row r="367" spans="1:12" x14ac:dyDescent="0.25">
      <c r="A367" s="58">
        <v>46068</v>
      </c>
      <c r="B367" s="18">
        <v>0.625</v>
      </c>
      <c r="C367" s="19">
        <v>6.06</v>
      </c>
      <c r="D367" s="19">
        <v>71.3</v>
      </c>
      <c r="E367" s="19">
        <v>1.95</v>
      </c>
      <c r="F367" s="19">
        <v>6.23</v>
      </c>
      <c r="G367" s="19">
        <v>17.34</v>
      </c>
      <c r="H367" s="20">
        <v>14.02</v>
      </c>
      <c r="I367" s="20">
        <v>39.03</v>
      </c>
      <c r="J367" s="20">
        <v>945.34</v>
      </c>
      <c r="K367" s="21">
        <v>920375.56</v>
      </c>
      <c r="L367" s="2"/>
    </row>
    <row r="368" spans="1:12" x14ac:dyDescent="0.25">
      <c r="A368" s="58">
        <v>46068</v>
      </c>
      <c r="B368" s="18">
        <v>0.66666666666666663</v>
      </c>
      <c r="C368" s="19">
        <v>7.01</v>
      </c>
      <c r="D368" s="19">
        <v>71.42</v>
      </c>
      <c r="E368" s="19">
        <v>1.61</v>
      </c>
      <c r="F368" s="19">
        <v>7.06</v>
      </c>
      <c r="G368" s="19">
        <v>17.350000000000001</v>
      </c>
      <c r="H368" s="20">
        <v>14.01</v>
      </c>
      <c r="I368" s="20">
        <v>38.840000000000003</v>
      </c>
      <c r="J368" s="20">
        <v>946.03</v>
      </c>
      <c r="K368" s="21">
        <v>931429.3600000001</v>
      </c>
      <c r="L368" s="2"/>
    </row>
    <row r="369" spans="1:12" x14ac:dyDescent="0.25">
      <c r="A369" s="58">
        <v>46068</v>
      </c>
      <c r="B369" s="18">
        <v>0.70833333333333337</v>
      </c>
      <c r="C369" s="19">
        <v>7.16</v>
      </c>
      <c r="D369" s="19">
        <v>71.87</v>
      </c>
      <c r="E369" s="19">
        <v>1.96</v>
      </c>
      <c r="F369" s="19">
        <v>7.78</v>
      </c>
      <c r="G369" s="19">
        <v>17.36</v>
      </c>
      <c r="H369" s="20">
        <v>13.98</v>
      </c>
      <c r="I369" s="20">
        <v>38.47</v>
      </c>
      <c r="J369" s="20">
        <v>946.42</v>
      </c>
      <c r="K369" s="21">
        <v>941033.44</v>
      </c>
      <c r="L369" s="2"/>
    </row>
    <row r="370" spans="1:12" x14ac:dyDescent="0.25">
      <c r="A370" s="58">
        <v>46068</v>
      </c>
      <c r="B370" s="18">
        <v>0.75</v>
      </c>
      <c r="C370" s="19">
        <v>6.07</v>
      </c>
      <c r="D370" s="19">
        <v>71.47</v>
      </c>
      <c r="E370" s="19">
        <v>1.65</v>
      </c>
      <c r="F370" s="19">
        <v>7.66</v>
      </c>
      <c r="G370" s="19">
        <v>17.36</v>
      </c>
      <c r="H370" s="20">
        <v>13.97</v>
      </c>
      <c r="I370" s="20">
        <v>38.33</v>
      </c>
      <c r="J370" s="20">
        <v>946.85</v>
      </c>
      <c r="K370" s="21">
        <v>950187.10000000009</v>
      </c>
      <c r="L370" s="2"/>
    </row>
    <row r="371" spans="1:12" x14ac:dyDescent="0.25">
      <c r="A371" s="58">
        <v>46068</v>
      </c>
      <c r="B371" s="18">
        <v>0.79166666666666663</v>
      </c>
      <c r="C371" s="19">
        <v>7.24</v>
      </c>
      <c r="D371" s="19">
        <v>72.28</v>
      </c>
      <c r="E371" s="19">
        <v>1.76</v>
      </c>
      <c r="F371" s="19">
        <v>4.72</v>
      </c>
      <c r="G371" s="19">
        <v>17.329999999999998</v>
      </c>
      <c r="H371" s="20">
        <v>13.97</v>
      </c>
      <c r="I371" s="20">
        <v>38.49</v>
      </c>
      <c r="J371" s="20">
        <v>947.24</v>
      </c>
      <c r="K371" s="21">
        <v>954953.46</v>
      </c>
      <c r="L371" s="2"/>
    </row>
    <row r="372" spans="1:12" x14ac:dyDescent="0.25">
      <c r="A372" s="58">
        <v>46068</v>
      </c>
      <c r="B372" s="18">
        <v>0.83333333333333337</v>
      </c>
      <c r="C372" s="19">
        <v>5.81</v>
      </c>
      <c r="D372" s="19">
        <v>71.88</v>
      </c>
      <c r="E372" s="19">
        <v>2.4300000000000002</v>
      </c>
      <c r="F372" s="19">
        <v>4.95</v>
      </c>
      <c r="G372" s="19">
        <v>17.32</v>
      </c>
      <c r="H372" s="20">
        <v>13.95</v>
      </c>
      <c r="I372" s="20">
        <v>38.25</v>
      </c>
      <c r="J372" s="20">
        <v>947.81</v>
      </c>
      <c r="K372" s="21">
        <v>943586.44</v>
      </c>
      <c r="L372" s="2"/>
    </row>
    <row r="373" spans="1:12" x14ac:dyDescent="0.25">
      <c r="A373" s="58">
        <v>46068</v>
      </c>
      <c r="B373" s="18">
        <v>0.875</v>
      </c>
      <c r="C373" s="19">
        <v>5.51</v>
      </c>
      <c r="D373" s="19">
        <v>71.94</v>
      </c>
      <c r="E373" s="19">
        <v>2.5</v>
      </c>
      <c r="F373" s="19">
        <v>5.39</v>
      </c>
      <c r="G373" s="19">
        <v>17.329999999999998</v>
      </c>
      <c r="H373" s="20">
        <v>13.95</v>
      </c>
      <c r="I373" s="20">
        <v>38.200000000000003</v>
      </c>
      <c r="J373" s="20">
        <v>948.2</v>
      </c>
      <c r="K373" s="21">
        <v>938766.82000000007</v>
      </c>
      <c r="L373" s="2"/>
    </row>
    <row r="374" spans="1:12" x14ac:dyDescent="0.25">
      <c r="A374" s="58">
        <v>46068</v>
      </c>
      <c r="B374" s="18">
        <v>0.91666666666666663</v>
      </c>
      <c r="C374" s="19">
        <v>6.37</v>
      </c>
      <c r="D374" s="19">
        <v>72.37</v>
      </c>
      <c r="E374" s="19">
        <v>2.67</v>
      </c>
      <c r="F374" s="19">
        <v>4.0599999999999996</v>
      </c>
      <c r="G374" s="19">
        <v>17.350000000000001</v>
      </c>
      <c r="H374" s="20">
        <v>13.94</v>
      </c>
      <c r="I374" s="20">
        <v>38.130000000000003</v>
      </c>
      <c r="J374" s="20">
        <v>948.6</v>
      </c>
      <c r="K374" s="21">
        <v>943007.7</v>
      </c>
      <c r="L374" s="2"/>
    </row>
    <row r="375" spans="1:12" ht="15.75" thickBot="1" x14ac:dyDescent="0.3">
      <c r="A375" s="60">
        <v>46068</v>
      </c>
      <c r="B375" s="35">
        <v>0.95833333333333337</v>
      </c>
      <c r="C375" s="23">
        <v>6.17</v>
      </c>
      <c r="D375" s="23">
        <v>73.180000000000007</v>
      </c>
      <c r="E375" s="23">
        <v>2.08</v>
      </c>
      <c r="F375" s="23">
        <v>2.4900000000000002</v>
      </c>
      <c r="G375" s="23">
        <v>17.37</v>
      </c>
      <c r="H375" s="24">
        <v>13.92</v>
      </c>
      <c r="I375" s="24">
        <v>37.909999999999997</v>
      </c>
      <c r="J375" s="24">
        <v>948.82</v>
      </c>
      <c r="K375" s="25">
        <v>938148.27</v>
      </c>
      <c r="L375" s="2"/>
    </row>
    <row r="376" spans="1:12" ht="15.75" thickBot="1" x14ac:dyDescent="0.3">
      <c r="A376" s="26" t="s">
        <v>59</v>
      </c>
      <c r="B376" s="44"/>
      <c r="C376" s="45">
        <f t="shared" ref="C376:K376" si="14">IFERROR(ROUND(AVERAGE(C352:C375), 2), "")</f>
        <v>6.78</v>
      </c>
      <c r="D376" s="45">
        <f t="shared" si="14"/>
        <v>73.349999999999994</v>
      </c>
      <c r="E376" s="45">
        <f t="shared" si="14"/>
        <v>2.3199999999999998</v>
      </c>
      <c r="F376" s="45">
        <f t="shared" si="14"/>
        <v>3.32</v>
      </c>
      <c r="G376" s="45">
        <f t="shared" si="14"/>
        <v>17.329999999999998</v>
      </c>
      <c r="H376" s="45">
        <f t="shared" si="14"/>
        <v>13.93</v>
      </c>
      <c r="I376" s="45">
        <f t="shared" si="14"/>
        <v>36.79</v>
      </c>
      <c r="J376" s="45">
        <f t="shared" si="14"/>
        <v>944.75</v>
      </c>
      <c r="K376" s="46">
        <f t="shared" si="14"/>
        <v>927760.49</v>
      </c>
      <c r="L376" s="7"/>
    </row>
    <row r="377" spans="1:12" x14ac:dyDescent="0.25">
      <c r="A377" s="57">
        <v>46069</v>
      </c>
      <c r="B377" s="14">
        <v>0</v>
      </c>
      <c r="C377" s="15">
        <v>6.31</v>
      </c>
      <c r="D377" s="15">
        <v>73.41</v>
      </c>
      <c r="E377" s="15">
        <v>2.2200000000000002</v>
      </c>
      <c r="F377" s="15">
        <v>1.26</v>
      </c>
      <c r="G377" s="15">
        <v>17.39</v>
      </c>
      <c r="H377" s="16">
        <v>13.93</v>
      </c>
      <c r="I377" s="16">
        <v>37.99</v>
      </c>
      <c r="J377" s="16">
        <v>948.8</v>
      </c>
      <c r="K377" s="17">
        <v>961150.45</v>
      </c>
      <c r="L377" s="2"/>
    </row>
    <row r="378" spans="1:12" x14ac:dyDescent="0.25">
      <c r="A378" s="58">
        <v>46069</v>
      </c>
      <c r="B378" s="18">
        <v>4.1666666666666664E-2</v>
      </c>
      <c r="C378" s="19">
        <v>6.53</v>
      </c>
      <c r="D378" s="19">
        <v>74.069999999999993</v>
      </c>
      <c r="E378" s="19">
        <v>2.35</v>
      </c>
      <c r="F378" s="19">
        <v>1.96</v>
      </c>
      <c r="G378" s="19">
        <v>17.39</v>
      </c>
      <c r="H378" s="20">
        <v>13.93</v>
      </c>
      <c r="I378" s="20">
        <v>38.06</v>
      </c>
      <c r="J378" s="20">
        <v>948.59</v>
      </c>
      <c r="K378" s="21">
        <v>963702.51</v>
      </c>
      <c r="L378" s="2"/>
    </row>
    <row r="379" spans="1:12" x14ac:dyDescent="0.25">
      <c r="A379" s="58">
        <v>46069</v>
      </c>
      <c r="B379" s="18">
        <v>8.3333333333333329E-2</v>
      </c>
      <c r="C379" s="19">
        <v>5.99</v>
      </c>
      <c r="D379" s="19">
        <v>73.2</v>
      </c>
      <c r="E379" s="19">
        <v>2.38</v>
      </c>
      <c r="F379" s="19">
        <v>1.92</v>
      </c>
      <c r="G379" s="19">
        <v>17.399999999999999</v>
      </c>
      <c r="H379" s="20">
        <v>13.92</v>
      </c>
      <c r="I379" s="20">
        <v>37.96</v>
      </c>
      <c r="J379" s="20">
        <v>948.99</v>
      </c>
      <c r="K379" s="21">
        <v>963518.54</v>
      </c>
      <c r="L379" s="2"/>
    </row>
    <row r="380" spans="1:12" x14ac:dyDescent="0.25">
      <c r="A380" s="58">
        <v>46069</v>
      </c>
      <c r="B380" s="18">
        <v>0.125</v>
      </c>
      <c r="C380" s="19">
        <v>5.82</v>
      </c>
      <c r="D380" s="19">
        <v>73.510000000000005</v>
      </c>
      <c r="E380" s="19">
        <v>2.34</v>
      </c>
      <c r="F380" s="19">
        <v>2.62</v>
      </c>
      <c r="G380" s="19">
        <v>17.41</v>
      </c>
      <c r="H380" s="20">
        <v>13.92</v>
      </c>
      <c r="I380" s="20">
        <v>37.99</v>
      </c>
      <c r="J380" s="20">
        <v>949.2</v>
      </c>
      <c r="K380" s="21">
        <v>975718.12999999989</v>
      </c>
      <c r="L380" s="2"/>
    </row>
    <row r="381" spans="1:12" x14ac:dyDescent="0.25">
      <c r="A381" s="58">
        <v>46069</v>
      </c>
      <c r="B381" s="18">
        <v>0.16666666666666666</v>
      </c>
      <c r="C381" s="19">
        <v>6.61</v>
      </c>
      <c r="D381" s="19">
        <v>73.86</v>
      </c>
      <c r="E381" s="19">
        <v>2.17</v>
      </c>
      <c r="F381" s="19">
        <v>2.42</v>
      </c>
      <c r="G381" s="19">
        <v>17.420000000000002</v>
      </c>
      <c r="H381" s="20">
        <v>13.91</v>
      </c>
      <c r="I381" s="20">
        <v>37.89</v>
      </c>
      <c r="J381" s="20">
        <v>949.43</v>
      </c>
      <c r="K381" s="21">
        <v>979622.49</v>
      </c>
      <c r="L381" s="2"/>
    </row>
    <row r="382" spans="1:12" x14ac:dyDescent="0.25">
      <c r="A382" s="58">
        <v>46069</v>
      </c>
      <c r="B382" s="18">
        <v>0.20833333333333334</v>
      </c>
      <c r="C382" s="19">
        <v>7.88</v>
      </c>
      <c r="D382" s="19">
        <v>74.989999999999995</v>
      </c>
      <c r="E382" s="19">
        <v>2.1</v>
      </c>
      <c r="F382" s="19">
        <v>0.9</v>
      </c>
      <c r="G382" s="19">
        <v>17.39</v>
      </c>
      <c r="H382" s="20">
        <v>13.91</v>
      </c>
      <c r="I382" s="20">
        <v>37.799999999999997</v>
      </c>
      <c r="J382" s="20">
        <v>949.55</v>
      </c>
      <c r="K382" s="21">
        <v>991850.12999999989</v>
      </c>
      <c r="L382" s="2"/>
    </row>
    <row r="383" spans="1:12" x14ac:dyDescent="0.25">
      <c r="A383" s="58">
        <v>46069</v>
      </c>
      <c r="B383" s="18">
        <v>0.25</v>
      </c>
      <c r="C383" s="19">
        <v>6.45</v>
      </c>
      <c r="D383" s="19">
        <v>74.75</v>
      </c>
      <c r="E383" s="19">
        <v>2.4900000000000002</v>
      </c>
      <c r="F383" s="19">
        <v>2.02</v>
      </c>
      <c r="G383" s="19">
        <v>17.420000000000002</v>
      </c>
      <c r="H383" s="20">
        <v>13.89</v>
      </c>
      <c r="I383" s="20">
        <v>37.47</v>
      </c>
      <c r="J383" s="20">
        <v>950.06</v>
      </c>
      <c r="K383" s="21">
        <v>1025648.6699999999</v>
      </c>
      <c r="L383" s="2"/>
    </row>
    <row r="384" spans="1:12" x14ac:dyDescent="0.25">
      <c r="A384" s="58">
        <v>46069</v>
      </c>
      <c r="B384" s="18">
        <v>0.29166666666666669</v>
      </c>
      <c r="C384" s="19">
        <v>4.3499999999999996</v>
      </c>
      <c r="D384" s="19">
        <v>75.56</v>
      </c>
      <c r="E384" s="19">
        <v>2.35</v>
      </c>
      <c r="F384" s="19">
        <v>0.82</v>
      </c>
      <c r="G384" s="19">
        <v>17.41</v>
      </c>
      <c r="H384" s="20">
        <v>13.85</v>
      </c>
      <c r="I384" s="20">
        <v>36.89</v>
      </c>
      <c r="J384" s="20">
        <v>950.57</v>
      </c>
      <c r="K384" s="21">
        <v>1059653.02</v>
      </c>
      <c r="L384" s="2"/>
    </row>
    <row r="385" spans="1:12" x14ac:dyDescent="0.25">
      <c r="A385" s="58">
        <v>46069</v>
      </c>
      <c r="B385" s="18">
        <v>0.33333333333333331</v>
      </c>
      <c r="C385" s="19">
        <v>5.69</v>
      </c>
      <c r="D385" s="19">
        <v>76.819999999999993</v>
      </c>
      <c r="E385" s="19">
        <v>2.69</v>
      </c>
      <c r="F385" s="19">
        <v>0.52</v>
      </c>
      <c r="G385" s="19">
        <v>17.43</v>
      </c>
      <c r="H385" s="20">
        <v>13.81</v>
      </c>
      <c r="I385" s="20">
        <v>36.200000000000003</v>
      </c>
      <c r="J385" s="20">
        <v>951.35</v>
      </c>
      <c r="K385" s="21">
        <v>1059811.55</v>
      </c>
      <c r="L385" s="2"/>
    </row>
    <row r="386" spans="1:12" x14ac:dyDescent="0.25">
      <c r="A386" s="58">
        <v>46069</v>
      </c>
      <c r="B386" s="18">
        <v>0.375</v>
      </c>
      <c r="C386" s="19">
        <v>6.65</v>
      </c>
      <c r="D386" s="19">
        <v>76.569999999999993</v>
      </c>
      <c r="E386" s="19">
        <v>2.2799999999999998</v>
      </c>
      <c r="F386" s="19">
        <v>0.59</v>
      </c>
      <c r="G386" s="19">
        <v>17.45</v>
      </c>
      <c r="H386" s="20">
        <v>13.77</v>
      </c>
      <c r="I386" s="20">
        <v>35.64</v>
      </c>
      <c r="J386" s="20">
        <v>952.2</v>
      </c>
      <c r="K386" s="21">
        <v>1040290.8200000001</v>
      </c>
      <c r="L386" s="2"/>
    </row>
    <row r="387" spans="1:12" x14ac:dyDescent="0.25">
      <c r="A387" s="58">
        <v>46069</v>
      </c>
      <c r="B387" s="18">
        <v>0.41666666666666669</v>
      </c>
      <c r="C387" s="19">
        <v>6.83</v>
      </c>
      <c r="D387" s="19">
        <v>77.45</v>
      </c>
      <c r="E387" s="19">
        <v>2.3199999999999998</v>
      </c>
      <c r="F387" s="19">
        <v>0.2</v>
      </c>
      <c r="G387" s="19">
        <v>17.440000000000001</v>
      </c>
      <c r="H387" s="20">
        <v>13.75</v>
      </c>
      <c r="I387" s="20">
        <v>35.380000000000003</v>
      </c>
      <c r="J387" s="20">
        <v>952.99</v>
      </c>
      <c r="K387" s="21">
        <v>1038824.51</v>
      </c>
      <c r="L387" s="2"/>
    </row>
    <row r="388" spans="1:12" x14ac:dyDescent="0.25">
      <c r="A388" s="58">
        <v>46069</v>
      </c>
      <c r="B388" s="18">
        <v>0.45833333333333331</v>
      </c>
      <c r="C388" s="19">
        <v>8.3699999999999992</v>
      </c>
      <c r="D388" s="19">
        <v>77.930000000000007</v>
      </c>
      <c r="E388" s="19">
        <v>1.65</v>
      </c>
      <c r="F388" s="19">
        <v>0.27</v>
      </c>
      <c r="G388" s="19">
        <v>17.420000000000002</v>
      </c>
      <c r="H388" s="20">
        <v>13.75</v>
      </c>
      <c r="I388" s="20">
        <v>35.700000000000003</v>
      </c>
      <c r="J388" s="20">
        <v>953.42</v>
      </c>
      <c r="K388" s="21">
        <v>1041196.1799999999</v>
      </c>
      <c r="L388" s="2"/>
    </row>
    <row r="389" spans="1:12" x14ac:dyDescent="0.25">
      <c r="A389" s="58">
        <v>46069</v>
      </c>
      <c r="B389" s="18">
        <v>0.5</v>
      </c>
      <c r="C389" s="19">
        <v>8.1999999999999993</v>
      </c>
      <c r="D389" s="19">
        <v>78.53</v>
      </c>
      <c r="E389" s="19">
        <v>1.65</v>
      </c>
      <c r="F389" s="19">
        <v>0.19</v>
      </c>
      <c r="G389" s="19">
        <v>17.43</v>
      </c>
      <c r="H389" s="20">
        <v>13.76</v>
      </c>
      <c r="I389" s="20">
        <v>35.880000000000003</v>
      </c>
      <c r="J389" s="20">
        <v>953.55</v>
      </c>
      <c r="K389" s="21">
        <v>1031599.25</v>
      </c>
      <c r="L389" s="2"/>
    </row>
    <row r="390" spans="1:12" x14ac:dyDescent="0.25">
      <c r="A390" s="58">
        <v>46069</v>
      </c>
      <c r="B390" s="18">
        <v>0.54166666666666663</v>
      </c>
      <c r="C390" s="19">
        <v>7.97</v>
      </c>
      <c r="D390" s="19">
        <v>78.930000000000007</v>
      </c>
      <c r="E390" s="19">
        <v>1.5</v>
      </c>
      <c r="F390" s="19">
        <v>0.08</v>
      </c>
      <c r="G390" s="19">
        <v>17.420000000000002</v>
      </c>
      <c r="H390" s="20">
        <v>13.77</v>
      </c>
      <c r="I390" s="20">
        <v>36.04</v>
      </c>
      <c r="J390" s="20">
        <v>953.69</v>
      </c>
      <c r="K390" s="21">
        <v>1033623.6200000001</v>
      </c>
      <c r="L390" s="2"/>
    </row>
    <row r="391" spans="1:12" x14ac:dyDescent="0.25">
      <c r="A391" s="58">
        <v>46069</v>
      </c>
      <c r="B391" s="18">
        <v>0.58333333333333337</v>
      </c>
      <c r="C391" s="19">
        <v>7.56</v>
      </c>
      <c r="D391" s="19">
        <v>76.58</v>
      </c>
      <c r="E391" s="19">
        <v>1.73</v>
      </c>
      <c r="F391" s="19">
        <v>0.69</v>
      </c>
      <c r="G391" s="19">
        <v>17.420000000000002</v>
      </c>
      <c r="H391" s="20">
        <v>13.76</v>
      </c>
      <c r="I391" s="20">
        <v>35.880000000000003</v>
      </c>
      <c r="J391" s="20">
        <v>953.88</v>
      </c>
      <c r="K391" s="21">
        <v>1026846.45</v>
      </c>
      <c r="L391" s="2"/>
    </row>
    <row r="392" spans="1:12" x14ac:dyDescent="0.25">
      <c r="A392" s="58">
        <v>46069</v>
      </c>
      <c r="B392" s="18">
        <v>0.625</v>
      </c>
      <c r="C392" s="19">
        <v>6.64</v>
      </c>
      <c r="D392" s="19">
        <v>75.08</v>
      </c>
      <c r="E392" s="19">
        <v>2.0099999999999998</v>
      </c>
      <c r="F392" s="19">
        <v>0.78</v>
      </c>
      <c r="G392" s="19">
        <v>17.440000000000001</v>
      </c>
      <c r="H392" s="20">
        <v>13.74</v>
      </c>
      <c r="I392" s="20">
        <v>35.61</v>
      </c>
      <c r="J392" s="20">
        <v>954.44</v>
      </c>
      <c r="K392" s="21">
        <v>1014971.48</v>
      </c>
      <c r="L392" s="2"/>
    </row>
    <row r="393" spans="1:12" x14ac:dyDescent="0.25">
      <c r="A393" s="58">
        <v>46069</v>
      </c>
      <c r="B393" s="18">
        <v>0.66666666666666663</v>
      </c>
      <c r="C393" s="19">
        <v>6.85</v>
      </c>
      <c r="D393" s="19">
        <v>73.92</v>
      </c>
      <c r="E393" s="19">
        <v>1.83</v>
      </c>
      <c r="F393" s="19">
        <v>0.89</v>
      </c>
      <c r="G393" s="19">
        <v>17.43</v>
      </c>
      <c r="H393" s="20">
        <v>13.71</v>
      </c>
      <c r="I393" s="20">
        <v>35.21</v>
      </c>
      <c r="J393" s="20">
        <v>955.07</v>
      </c>
      <c r="K393" s="21">
        <v>994539.17999999993</v>
      </c>
      <c r="L393" s="2"/>
    </row>
    <row r="394" spans="1:12" x14ac:dyDescent="0.25">
      <c r="A394" s="58">
        <v>46069</v>
      </c>
      <c r="B394" s="18">
        <v>0.70833333333333337</v>
      </c>
      <c r="C394" s="19">
        <v>6.77</v>
      </c>
      <c r="D394" s="19">
        <v>73.73</v>
      </c>
      <c r="E394" s="19">
        <v>1.58</v>
      </c>
      <c r="F394" s="19">
        <v>2.04</v>
      </c>
      <c r="G394" s="19">
        <v>17.43</v>
      </c>
      <c r="H394" s="20">
        <v>13.7</v>
      </c>
      <c r="I394" s="20">
        <v>35.14</v>
      </c>
      <c r="J394" s="20">
        <v>955.46</v>
      </c>
      <c r="K394" s="21">
        <v>990392.06</v>
      </c>
      <c r="L394" s="2"/>
    </row>
    <row r="395" spans="1:12" x14ac:dyDescent="0.25">
      <c r="A395" s="58">
        <v>46069</v>
      </c>
      <c r="B395" s="18">
        <v>0.75</v>
      </c>
      <c r="C395" s="19">
        <v>7.39</v>
      </c>
      <c r="D395" s="19">
        <v>73.67</v>
      </c>
      <c r="E395" s="19">
        <v>1.6</v>
      </c>
      <c r="F395" s="19">
        <v>1.56</v>
      </c>
      <c r="G395" s="19">
        <v>17.43</v>
      </c>
      <c r="H395" s="20">
        <v>13.69</v>
      </c>
      <c r="I395" s="20">
        <v>35.119999999999997</v>
      </c>
      <c r="J395" s="20">
        <v>955.92</v>
      </c>
      <c r="K395" s="21">
        <v>971946.05</v>
      </c>
      <c r="L395" s="2"/>
    </row>
    <row r="396" spans="1:12" x14ac:dyDescent="0.25">
      <c r="A396" s="58">
        <v>46069</v>
      </c>
      <c r="B396" s="18">
        <v>0.79166666666666663</v>
      </c>
      <c r="C396" s="19">
        <v>6.66</v>
      </c>
      <c r="D396" s="19">
        <v>74.17</v>
      </c>
      <c r="E396" s="19">
        <v>1.39</v>
      </c>
      <c r="F396" s="19">
        <v>2.71</v>
      </c>
      <c r="G396" s="19">
        <v>17.45</v>
      </c>
      <c r="H396" s="20">
        <v>13.68</v>
      </c>
      <c r="I396" s="20">
        <v>34.979999999999997</v>
      </c>
      <c r="J396" s="20">
        <v>956.28</v>
      </c>
      <c r="K396" s="21">
        <v>966895.57000000007</v>
      </c>
      <c r="L396" s="2"/>
    </row>
    <row r="397" spans="1:12" x14ac:dyDescent="0.25">
      <c r="A397" s="58">
        <v>46069</v>
      </c>
      <c r="B397" s="18">
        <v>0.83333333333333337</v>
      </c>
      <c r="C397" s="19">
        <v>7.52</v>
      </c>
      <c r="D397" s="19">
        <v>74.52</v>
      </c>
      <c r="E397" s="19">
        <v>1.56</v>
      </c>
      <c r="F397" s="19">
        <v>2.54</v>
      </c>
      <c r="G397" s="19">
        <v>17.43</v>
      </c>
      <c r="H397" s="20">
        <v>13.67</v>
      </c>
      <c r="I397" s="20">
        <v>34.72</v>
      </c>
      <c r="J397" s="20">
        <v>956.62</v>
      </c>
      <c r="K397" s="21">
        <v>975512.45</v>
      </c>
      <c r="L397" s="2"/>
    </row>
    <row r="398" spans="1:12" x14ac:dyDescent="0.25">
      <c r="A398" s="58">
        <v>46069</v>
      </c>
      <c r="B398" s="18">
        <v>0.875</v>
      </c>
      <c r="C398" s="19">
        <v>7.09</v>
      </c>
      <c r="D398" s="19">
        <v>73.97</v>
      </c>
      <c r="E398" s="19">
        <v>1.37</v>
      </c>
      <c r="F398" s="19">
        <v>2.74</v>
      </c>
      <c r="G398" s="19">
        <v>17.43</v>
      </c>
      <c r="H398" s="20">
        <v>13.65</v>
      </c>
      <c r="I398" s="20">
        <v>34.56</v>
      </c>
      <c r="J398" s="20">
        <v>957.05</v>
      </c>
      <c r="K398" s="21">
        <v>970206.60000000009</v>
      </c>
      <c r="L398" s="2"/>
    </row>
    <row r="399" spans="1:12" x14ac:dyDescent="0.25">
      <c r="A399" s="58">
        <v>46069</v>
      </c>
      <c r="B399" s="18">
        <v>0.91666666666666663</v>
      </c>
      <c r="C399" s="19">
        <v>7.04</v>
      </c>
      <c r="D399" s="19">
        <v>74.44</v>
      </c>
      <c r="E399" s="19">
        <v>1.52</v>
      </c>
      <c r="F399" s="19">
        <v>3.32</v>
      </c>
      <c r="G399" s="19">
        <v>17.440000000000001</v>
      </c>
      <c r="H399" s="20">
        <v>13.64</v>
      </c>
      <c r="I399" s="20">
        <v>34.39</v>
      </c>
      <c r="J399" s="20">
        <v>957.41</v>
      </c>
      <c r="K399" s="21">
        <v>983366.08000000007</v>
      </c>
      <c r="L399" s="2"/>
    </row>
    <row r="400" spans="1:12" ht="15.75" thickBot="1" x14ac:dyDescent="0.3">
      <c r="A400" s="60">
        <v>46069</v>
      </c>
      <c r="B400" s="35">
        <v>0.95833333333333337</v>
      </c>
      <c r="C400" s="23">
        <v>6.63</v>
      </c>
      <c r="D400" s="23">
        <v>74.53</v>
      </c>
      <c r="E400" s="23">
        <v>1.71</v>
      </c>
      <c r="F400" s="23">
        <v>2.79</v>
      </c>
      <c r="G400" s="23">
        <v>17.440000000000001</v>
      </c>
      <c r="H400" s="24">
        <v>13.62</v>
      </c>
      <c r="I400" s="24">
        <v>34.119999999999997</v>
      </c>
      <c r="J400" s="24">
        <v>957.62</v>
      </c>
      <c r="K400" s="25">
        <v>986057.55</v>
      </c>
      <c r="L400" s="2"/>
    </row>
    <row r="401" spans="1:12" ht="15.75" thickBot="1" x14ac:dyDescent="0.3">
      <c r="A401" s="26" t="s">
        <v>60</v>
      </c>
      <c r="B401" s="44"/>
      <c r="C401" s="45">
        <f t="shared" ref="C401:K401" si="15">IFERROR(ROUND(AVERAGE(C377:C400), 2), "")</f>
        <v>6.83</v>
      </c>
      <c r="D401" s="45">
        <f t="shared" si="15"/>
        <v>75.17</v>
      </c>
      <c r="E401" s="45">
        <f t="shared" si="15"/>
        <v>1.95</v>
      </c>
      <c r="F401" s="45">
        <f t="shared" si="15"/>
        <v>1.49</v>
      </c>
      <c r="G401" s="45">
        <f t="shared" si="15"/>
        <v>17.420000000000002</v>
      </c>
      <c r="H401" s="45">
        <f t="shared" si="15"/>
        <v>13.78</v>
      </c>
      <c r="I401" s="45">
        <f t="shared" si="15"/>
        <v>36.11</v>
      </c>
      <c r="J401" s="45">
        <f t="shared" si="15"/>
        <v>953.01</v>
      </c>
      <c r="K401" s="46">
        <f t="shared" si="15"/>
        <v>1001955.97</v>
      </c>
      <c r="L401" s="7"/>
    </row>
    <row r="402" spans="1:12" x14ac:dyDescent="0.25">
      <c r="A402" s="57">
        <v>46070</v>
      </c>
      <c r="B402" s="14">
        <v>0</v>
      </c>
      <c r="C402" s="15">
        <v>7.31</v>
      </c>
      <c r="D402" s="15">
        <v>74.53</v>
      </c>
      <c r="E402" s="15">
        <v>1.95</v>
      </c>
      <c r="F402" s="15">
        <v>3.11</v>
      </c>
      <c r="G402" s="15">
        <v>17.45</v>
      </c>
      <c r="H402" s="16">
        <v>13.62</v>
      </c>
      <c r="I402" s="16">
        <v>33.92</v>
      </c>
      <c r="J402" s="16">
        <v>957.59</v>
      </c>
      <c r="K402" s="17">
        <v>992437.35000000009</v>
      </c>
      <c r="L402" s="2"/>
    </row>
    <row r="403" spans="1:12" x14ac:dyDescent="0.25">
      <c r="A403" s="58">
        <v>46070</v>
      </c>
      <c r="B403" s="18">
        <v>4.1666666666666664E-2</v>
      </c>
      <c r="C403" s="19">
        <v>6.49</v>
      </c>
      <c r="D403" s="19">
        <v>75.2</v>
      </c>
      <c r="E403" s="19">
        <v>1.76</v>
      </c>
      <c r="F403" s="19">
        <v>2.2200000000000002</v>
      </c>
      <c r="G403" s="19">
        <v>17.46</v>
      </c>
      <c r="H403" s="20">
        <v>13.6</v>
      </c>
      <c r="I403" s="20">
        <v>33.57</v>
      </c>
      <c r="J403" s="20">
        <v>957.55</v>
      </c>
      <c r="K403" s="21">
        <v>992874.53</v>
      </c>
      <c r="L403" s="2"/>
    </row>
    <row r="404" spans="1:12" x14ac:dyDescent="0.25">
      <c r="A404" s="58">
        <v>46070</v>
      </c>
      <c r="B404" s="18">
        <v>8.3333333333333329E-2</v>
      </c>
      <c r="C404" s="19">
        <v>6.71</v>
      </c>
      <c r="D404" s="19">
        <v>74.98</v>
      </c>
      <c r="E404" s="19">
        <v>1.63</v>
      </c>
      <c r="F404" s="19">
        <v>1.55</v>
      </c>
      <c r="G404" s="19">
        <v>17.47</v>
      </c>
      <c r="H404" s="20">
        <v>13.59</v>
      </c>
      <c r="I404" s="20">
        <v>33.28</v>
      </c>
      <c r="J404" s="20">
        <v>957.66</v>
      </c>
      <c r="K404" s="21">
        <v>998592.2</v>
      </c>
      <c r="L404" s="2"/>
    </row>
    <row r="405" spans="1:12" x14ac:dyDescent="0.25">
      <c r="A405" s="58">
        <v>46070</v>
      </c>
      <c r="B405" s="18">
        <v>0.125</v>
      </c>
      <c r="C405" s="19">
        <v>7.39</v>
      </c>
      <c r="D405" s="19">
        <v>74.959999999999994</v>
      </c>
      <c r="E405" s="19">
        <v>1.66</v>
      </c>
      <c r="F405" s="19">
        <v>1.05</v>
      </c>
      <c r="G405" s="19">
        <v>17.46</v>
      </c>
      <c r="H405" s="20">
        <v>13.58</v>
      </c>
      <c r="I405" s="20">
        <v>33.03</v>
      </c>
      <c r="J405" s="20">
        <v>957.55</v>
      </c>
      <c r="K405" s="21">
        <v>995365.3</v>
      </c>
      <c r="L405" s="2"/>
    </row>
    <row r="406" spans="1:12" x14ac:dyDescent="0.25">
      <c r="A406" s="58">
        <v>46070</v>
      </c>
      <c r="B406" s="18">
        <v>0.16666666666666666</v>
      </c>
      <c r="C406" s="19">
        <v>7.48</v>
      </c>
      <c r="D406" s="19">
        <v>75.14</v>
      </c>
      <c r="E406" s="19">
        <v>1.63</v>
      </c>
      <c r="F406" s="19">
        <v>1.17</v>
      </c>
      <c r="G406" s="19">
        <v>17.47</v>
      </c>
      <c r="H406" s="20">
        <v>13.56</v>
      </c>
      <c r="I406" s="20">
        <v>32.75</v>
      </c>
      <c r="J406" s="20">
        <v>957.52</v>
      </c>
      <c r="K406" s="21">
        <v>1006121.25</v>
      </c>
      <c r="L406" s="2"/>
    </row>
    <row r="407" spans="1:12" x14ac:dyDescent="0.25">
      <c r="A407" s="58">
        <v>46070</v>
      </c>
      <c r="B407" s="18">
        <v>0.20833333333333334</v>
      </c>
      <c r="C407" s="19">
        <v>6.66</v>
      </c>
      <c r="D407" s="19">
        <v>74.58</v>
      </c>
      <c r="E407" s="19">
        <v>1.71</v>
      </c>
      <c r="F407" s="19">
        <v>0.79</v>
      </c>
      <c r="G407" s="19">
        <v>17.489999999999998</v>
      </c>
      <c r="H407" s="20">
        <v>13.55</v>
      </c>
      <c r="I407" s="20">
        <v>32.369999999999997</v>
      </c>
      <c r="J407" s="20">
        <v>957.71</v>
      </c>
      <c r="K407" s="21">
        <v>1010724.3999999999</v>
      </c>
      <c r="L407" s="2"/>
    </row>
    <row r="408" spans="1:12" x14ac:dyDescent="0.25">
      <c r="A408" s="58">
        <v>46070</v>
      </c>
      <c r="B408" s="18">
        <v>0.25</v>
      </c>
      <c r="C408" s="19">
        <v>7.3</v>
      </c>
      <c r="D408" s="19">
        <v>75.22</v>
      </c>
      <c r="E408" s="19">
        <v>1.67</v>
      </c>
      <c r="F408" s="19">
        <v>0.48</v>
      </c>
      <c r="G408" s="19">
        <v>17.48</v>
      </c>
      <c r="H408" s="20">
        <v>13.53</v>
      </c>
      <c r="I408" s="20">
        <v>32.07</v>
      </c>
      <c r="J408" s="20">
        <v>957.74</v>
      </c>
      <c r="K408" s="21">
        <v>1013493.74</v>
      </c>
      <c r="L408" s="2"/>
    </row>
    <row r="409" spans="1:12" x14ac:dyDescent="0.25">
      <c r="A409" s="58">
        <v>46070</v>
      </c>
      <c r="B409" s="18">
        <v>0.29166666666666669</v>
      </c>
      <c r="C409" s="19">
        <v>6.47</v>
      </c>
      <c r="D409" s="19">
        <v>75.900000000000006</v>
      </c>
      <c r="E409" s="19">
        <v>1.45</v>
      </c>
      <c r="F409" s="19">
        <v>0.52</v>
      </c>
      <c r="G409" s="19">
        <v>17.5</v>
      </c>
      <c r="H409" s="20">
        <v>13.53</v>
      </c>
      <c r="I409" s="20">
        <v>31.99</v>
      </c>
      <c r="J409" s="20">
        <v>957.78</v>
      </c>
      <c r="K409" s="21">
        <v>1025705.25</v>
      </c>
      <c r="L409" s="2"/>
    </row>
    <row r="410" spans="1:12" x14ac:dyDescent="0.25">
      <c r="A410" s="58">
        <v>46070</v>
      </c>
      <c r="B410" s="18">
        <v>0.33333333333333331</v>
      </c>
      <c r="C410" s="19">
        <v>6.76</v>
      </c>
      <c r="D410" s="19">
        <v>75.55</v>
      </c>
      <c r="E410" s="19">
        <v>1.44</v>
      </c>
      <c r="F410" s="19">
        <v>0.64</v>
      </c>
      <c r="G410" s="19">
        <v>17.489999999999998</v>
      </c>
      <c r="H410" s="20">
        <v>13.52</v>
      </c>
      <c r="I410" s="20">
        <v>31.87</v>
      </c>
      <c r="J410" s="20">
        <v>957.94</v>
      </c>
      <c r="K410" s="21">
        <v>1033073.1200000001</v>
      </c>
      <c r="L410" s="2"/>
    </row>
    <row r="411" spans="1:12" x14ac:dyDescent="0.25">
      <c r="A411" s="58">
        <v>46070</v>
      </c>
      <c r="B411" s="18">
        <v>0.375</v>
      </c>
      <c r="C411" s="19">
        <v>7.72</v>
      </c>
      <c r="D411" s="19">
        <v>76.27</v>
      </c>
      <c r="E411" s="19">
        <v>1.64</v>
      </c>
      <c r="F411" s="19">
        <v>0.18</v>
      </c>
      <c r="G411" s="19">
        <v>17.489999999999998</v>
      </c>
      <c r="H411" s="20">
        <v>13.54</v>
      </c>
      <c r="I411" s="20">
        <v>32.26</v>
      </c>
      <c r="J411" s="20">
        <v>957.9</v>
      </c>
      <c r="K411" s="21">
        <v>1015653.25</v>
      </c>
      <c r="L411" s="2"/>
    </row>
    <row r="412" spans="1:12" x14ac:dyDescent="0.25">
      <c r="A412" s="58">
        <v>46070</v>
      </c>
      <c r="B412" s="18">
        <v>0.41666666666666669</v>
      </c>
      <c r="C412" s="19">
        <v>7.1</v>
      </c>
      <c r="D412" s="19">
        <v>76.69</v>
      </c>
      <c r="E412" s="19">
        <v>1.94</v>
      </c>
      <c r="F412" s="19">
        <v>0.15</v>
      </c>
      <c r="G412" s="19">
        <v>17.47</v>
      </c>
      <c r="H412" s="20">
        <v>13.56</v>
      </c>
      <c r="I412" s="20">
        <v>32.86</v>
      </c>
      <c r="J412" s="20">
        <v>958.09</v>
      </c>
      <c r="K412" s="21">
        <v>1009364.5900000001</v>
      </c>
      <c r="L412" s="2"/>
    </row>
    <row r="413" spans="1:12" x14ac:dyDescent="0.25">
      <c r="A413" s="58">
        <v>46070</v>
      </c>
      <c r="B413" s="18">
        <v>0.45833333333333331</v>
      </c>
      <c r="C413" s="19">
        <v>8.02</v>
      </c>
      <c r="D413" s="19">
        <v>76.209999999999994</v>
      </c>
      <c r="E413" s="19">
        <v>2.39</v>
      </c>
      <c r="F413" s="19">
        <v>0.18</v>
      </c>
      <c r="G413" s="19">
        <v>17.46</v>
      </c>
      <c r="H413" s="20">
        <v>13.57</v>
      </c>
      <c r="I413" s="20">
        <v>33.06</v>
      </c>
      <c r="J413" s="20">
        <v>957.87</v>
      </c>
      <c r="K413" s="21">
        <v>990410.02</v>
      </c>
      <c r="L413" s="2"/>
    </row>
    <row r="414" spans="1:12" x14ac:dyDescent="0.25">
      <c r="A414" s="58">
        <v>46070</v>
      </c>
      <c r="B414" s="18">
        <v>0.5</v>
      </c>
      <c r="C414" s="19">
        <v>7.81</v>
      </c>
      <c r="D414" s="19">
        <v>73.05</v>
      </c>
      <c r="E414" s="19">
        <v>2.5499999999999998</v>
      </c>
      <c r="F414" s="19">
        <v>0.44</v>
      </c>
      <c r="G414" s="19">
        <v>17.45</v>
      </c>
      <c r="H414" s="20">
        <v>13.59</v>
      </c>
      <c r="I414" s="20">
        <v>33.22</v>
      </c>
      <c r="J414" s="20">
        <v>957.27</v>
      </c>
      <c r="K414" s="21">
        <v>970314.05</v>
      </c>
      <c r="L414" s="2"/>
    </row>
    <row r="415" spans="1:12" x14ac:dyDescent="0.25">
      <c r="A415" s="58">
        <v>46070</v>
      </c>
      <c r="B415" s="18">
        <v>0.54166666666666663</v>
      </c>
      <c r="C415" s="19">
        <v>7.24</v>
      </c>
      <c r="D415" s="19">
        <v>72.599999999999994</v>
      </c>
      <c r="E415" s="19">
        <v>2.81</v>
      </c>
      <c r="F415" s="19">
        <v>0.45</v>
      </c>
      <c r="G415" s="19">
        <v>17.46</v>
      </c>
      <c r="H415" s="20">
        <v>13.62</v>
      </c>
      <c r="I415" s="20">
        <v>33.64</v>
      </c>
      <c r="J415" s="20">
        <v>956.63</v>
      </c>
      <c r="K415" s="21">
        <v>972025.91999999993</v>
      </c>
      <c r="L415" s="2"/>
    </row>
    <row r="416" spans="1:12" x14ac:dyDescent="0.25">
      <c r="A416" s="58">
        <v>46070</v>
      </c>
      <c r="B416" s="18">
        <v>0.58333333333333337</v>
      </c>
      <c r="C416" s="19">
        <v>7.14</v>
      </c>
      <c r="D416" s="19">
        <v>71.290000000000006</v>
      </c>
      <c r="E416" s="19">
        <v>2.93</v>
      </c>
      <c r="F416" s="19">
        <v>2.37</v>
      </c>
      <c r="G416" s="19">
        <v>17.399999999999999</v>
      </c>
      <c r="H416" s="20">
        <v>13.64</v>
      </c>
      <c r="I416" s="20">
        <v>34.15</v>
      </c>
      <c r="J416" s="20">
        <v>956.42</v>
      </c>
      <c r="K416" s="21">
        <v>982682.42999999993</v>
      </c>
      <c r="L416" s="2"/>
    </row>
    <row r="417" spans="1:12" x14ac:dyDescent="0.25">
      <c r="A417" s="58">
        <v>46070</v>
      </c>
      <c r="B417" s="18">
        <v>0.625</v>
      </c>
      <c r="C417" s="19">
        <v>6.15</v>
      </c>
      <c r="D417" s="19">
        <v>71.959999999999994</v>
      </c>
      <c r="E417" s="19">
        <v>2.92</v>
      </c>
      <c r="F417" s="19">
        <v>3.51</v>
      </c>
      <c r="G417" s="19">
        <v>17.36</v>
      </c>
      <c r="H417" s="20">
        <v>13.66</v>
      </c>
      <c r="I417" s="20">
        <v>34.549999999999997</v>
      </c>
      <c r="J417" s="20">
        <v>956.4</v>
      </c>
      <c r="K417" s="21">
        <v>1002669.8300000001</v>
      </c>
      <c r="L417" s="2"/>
    </row>
    <row r="418" spans="1:12" x14ac:dyDescent="0.25">
      <c r="A418" s="58">
        <v>46070</v>
      </c>
      <c r="B418" s="18">
        <v>0.66666666666666663</v>
      </c>
      <c r="C418" s="19">
        <v>8.07</v>
      </c>
      <c r="D418" s="19">
        <v>73.13</v>
      </c>
      <c r="E418" s="19">
        <v>2.95</v>
      </c>
      <c r="F418" s="19">
        <v>1.91</v>
      </c>
      <c r="G418" s="19">
        <v>17.37</v>
      </c>
      <c r="H418" s="20">
        <v>13.64</v>
      </c>
      <c r="I418" s="20">
        <v>34.17</v>
      </c>
      <c r="J418" s="20">
        <v>956.52</v>
      </c>
      <c r="K418" s="21">
        <v>1002114.22</v>
      </c>
      <c r="L418" s="2"/>
    </row>
    <row r="419" spans="1:12" x14ac:dyDescent="0.25">
      <c r="A419" s="58">
        <v>46070</v>
      </c>
      <c r="B419" s="18">
        <v>0.70833333333333337</v>
      </c>
      <c r="C419" s="19">
        <v>7.77</v>
      </c>
      <c r="D419" s="19">
        <v>73.55</v>
      </c>
      <c r="E419" s="19">
        <v>2.93</v>
      </c>
      <c r="F419" s="19">
        <v>2.39</v>
      </c>
      <c r="G419" s="19">
        <v>17.37</v>
      </c>
      <c r="H419" s="20">
        <v>13.63</v>
      </c>
      <c r="I419" s="20">
        <v>34.1</v>
      </c>
      <c r="J419" s="20">
        <v>957.11</v>
      </c>
      <c r="K419" s="21">
        <v>994054.7</v>
      </c>
      <c r="L419" s="2"/>
    </row>
    <row r="420" spans="1:12" x14ac:dyDescent="0.25">
      <c r="A420" s="58">
        <v>46070</v>
      </c>
      <c r="B420" s="18">
        <v>0.75</v>
      </c>
      <c r="C420" s="19">
        <v>6.98</v>
      </c>
      <c r="D420" s="19">
        <v>74.069999999999993</v>
      </c>
      <c r="E420" s="19">
        <v>3.14</v>
      </c>
      <c r="F420" s="19">
        <v>2.16</v>
      </c>
      <c r="G420" s="19">
        <v>17.37</v>
      </c>
      <c r="H420" s="20">
        <v>13.62</v>
      </c>
      <c r="I420" s="20">
        <v>33.96</v>
      </c>
      <c r="J420" s="20">
        <v>957.41</v>
      </c>
      <c r="K420" s="21">
        <v>992855.44</v>
      </c>
      <c r="L420" s="2"/>
    </row>
    <row r="421" spans="1:12" x14ac:dyDescent="0.25">
      <c r="A421" s="58">
        <v>46070</v>
      </c>
      <c r="B421" s="18">
        <v>0.79166666666666663</v>
      </c>
      <c r="C421" s="19">
        <v>7.86</v>
      </c>
      <c r="D421" s="19">
        <v>73.290000000000006</v>
      </c>
      <c r="E421" s="19">
        <v>3.5</v>
      </c>
      <c r="F421" s="19">
        <v>3.87</v>
      </c>
      <c r="G421" s="19">
        <v>17.39</v>
      </c>
      <c r="H421" s="20">
        <v>13.61</v>
      </c>
      <c r="I421" s="20">
        <v>33.950000000000003</v>
      </c>
      <c r="J421" s="20">
        <v>958.02</v>
      </c>
      <c r="K421" s="21">
        <v>1017431.53</v>
      </c>
      <c r="L421" s="2"/>
    </row>
    <row r="422" spans="1:12" x14ac:dyDescent="0.25">
      <c r="A422" s="58">
        <v>46070</v>
      </c>
      <c r="B422" s="18">
        <v>0.83333333333333337</v>
      </c>
      <c r="C422" s="19">
        <v>6.87</v>
      </c>
      <c r="D422" s="19">
        <v>73.78</v>
      </c>
      <c r="E422" s="19">
        <v>2.83</v>
      </c>
      <c r="F422" s="19">
        <v>2.06</v>
      </c>
      <c r="G422" s="19">
        <v>17.440000000000001</v>
      </c>
      <c r="H422" s="20">
        <v>13.59</v>
      </c>
      <c r="I422" s="20">
        <v>33.479999999999997</v>
      </c>
      <c r="J422" s="20">
        <v>958.38</v>
      </c>
      <c r="K422" s="21">
        <v>1045562.53</v>
      </c>
      <c r="L422" s="2"/>
    </row>
    <row r="423" spans="1:12" x14ac:dyDescent="0.25">
      <c r="A423" s="58">
        <v>46070</v>
      </c>
      <c r="B423" s="18">
        <v>0.875</v>
      </c>
      <c r="C423" s="19">
        <v>6.55</v>
      </c>
      <c r="D423" s="19">
        <v>74.81</v>
      </c>
      <c r="E423" s="19">
        <v>2.77</v>
      </c>
      <c r="F423" s="19">
        <v>1.19</v>
      </c>
      <c r="G423" s="19">
        <v>17.47</v>
      </c>
      <c r="H423" s="20">
        <v>13.56</v>
      </c>
      <c r="I423" s="20">
        <v>33.03</v>
      </c>
      <c r="J423" s="20">
        <v>958.73</v>
      </c>
      <c r="K423" s="21">
        <v>1065933.32</v>
      </c>
      <c r="L423" s="2"/>
    </row>
    <row r="424" spans="1:12" x14ac:dyDescent="0.25">
      <c r="A424" s="58">
        <v>46070</v>
      </c>
      <c r="B424" s="18">
        <v>0.91666666666666663</v>
      </c>
      <c r="C424" s="19">
        <v>7.43</v>
      </c>
      <c r="D424" s="19">
        <v>74.59</v>
      </c>
      <c r="E424" s="19">
        <v>2.86</v>
      </c>
      <c r="F424" s="19">
        <v>0.72</v>
      </c>
      <c r="G424" s="19">
        <v>17.46</v>
      </c>
      <c r="H424" s="20">
        <v>13.52</v>
      </c>
      <c r="I424" s="20">
        <v>32.26</v>
      </c>
      <c r="J424" s="20">
        <v>958.98</v>
      </c>
      <c r="K424" s="21">
        <v>1075221.73</v>
      </c>
      <c r="L424" s="2"/>
    </row>
    <row r="425" spans="1:12" ht="15.75" thickBot="1" x14ac:dyDescent="0.3">
      <c r="A425" s="60">
        <v>46070</v>
      </c>
      <c r="B425" s="35">
        <v>0.95833333333333337</v>
      </c>
      <c r="C425" s="23">
        <v>6.96</v>
      </c>
      <c r="D425" s="23">
        <v>75.19</v>
      </c>
      <c r="E425" s="23">
        <v>2.81</v>
      </c>
      <c r="F425" s="23">
        <v>0.68</v>
      </c>
      <c r="G425" s="23">
        <v>17.46</v>
      </c>
      <c r="H425" s="24">
        <v>13.5</v>
      </c>
      <c r="I425" s="24">
        <v>31.79</v>
      </c>
      <c r="J425" s="24">
        <v>959.27</v>
      </c>
      <c r="K425" s="25">
        <v>1066598.5900000001</v>
      </c>
      <c r="L425" s="2"/>
    </row>
    <row r="426" spans="1:12" ht="15.75" thickBot="1" x14ac:dyDescent="0.3">
      <c r="A426" s="26" t="s">
        <v>61</v>
      </c>
      <c r="B426" s="44"/>
      <c r="C426" s="45">
        <f t="shared" ref="C426:K426" si="16">IFERROR(ROUND(AVERAGE(C402:C425), 2), "")</f>
        <v>7.18</v>
      </c>
      <c r="D426" s="45">
        <f t="shared" si="16"/>
        <v>74.44</v>
      </c>
      <c r="E426" s="45">
        <f t="shared" si="16"/>
        <v>2.33</v>
      </c>
      <c r="F426" s="45">
        <f t="shared" si="16"/>
        <v>1.41</v>
      </c>
      <c r="G426" s="45">
        <f t="shared" si="16"/>
        <v>17.45</v>
      </c>
      <c r="H426" s="45">
        <f t="shared" si="16"/>
        <v>13.58</v>
      </c>
      <c r="I426" s="45">
        <f t="shared" si="16"/>
        <v>33.14</v>
      </c>
      <c r="J426" s="45">
        <f t="shared" si="16"/>
        <v>957.67</v>
      </c>
      <c r="K426" s="46">
        <f t="shared" si="16"/>
        <v>1011303.3</v>
      </c>
      <c r="L426" s="7"/>
    </row>
    <row r="427" spans="1:12" x14ac:dyDescent="0.25">
      <c r="A427" s="57">
        <v>46071</v>
      </c>
      <c r="B427" s="14">
        <v>0</v>
      </c>
      <c r="C427" s="15">
        <v>8.26</v>
      </c>
      <c r="D427" s="15">
        <v>76.16</v>
      </c>
      <c r="E427" s="15">
        <v>2.62</v>
      </c>
      <c r="F427" s="15">
        <v>0.42</v>
      </c>
      <c r="G427" s="16">
        <v>17.46</v>
      </c>
      <c r="H427" s="16">
        <v>13.49</v>
      </c>
      <c r="I427" s="16">
        <v>31.73</v>
      </c>
      <c r="J427" s="16">
        <v>959.5</v>
      </c>
      <c r="K427" s="31">
        <v>1068663.06</v>
      </c>
      <c r="L427" s="2"/>
    </row>
    <row r="428" spans="1:12" x14ac:dyDescent="0.25">
      <c r="A428" s="58">
        <v>46071</v>
      </c>
      <c r="B428" s="18">
        <v>4.1666666666666664E-2</v>
      </c>
      <c r="C428" s="19">
        <v>7.05</v>
      </c>
      <c r="D428" s="19">
        <v>74.790000000000006</v>
      </c>
      <c r="E428" s="19">
        <v>2.77</v>
      </c>
      <c r="F428" s="19">
        <v>1.23</v>
      </c>
      <c r="G428" s="20">
        <v>17.55</v>
      </c>
      <c r="H428" s="20">
        <v>13.45</v>
      </c>
      <c r="I428" s="20">
        <v>30.89</v>
      </c>
      <c r="J428" s="20">
        <v>959.53</v>
      </c>
      <c r="K428" s="32">
        <v>1047251.05</v>
      </c>
      <c r="L428" s="2"/>
    </row>
    <row r="429" spans="1:12" x14ac:dyDescent="0.25">
      <c r="A429" s="58">
        <v>46071</v>
      </c>
      <c r="B429" s="18">
        <v>8.3333333333333329E-2</v>
      </c>
      <c r="C429" s="19">
        <v>7.32</v>
      </c>
      <c r="D429" s="19">
        <v>74.150000000000006</v>
      </c>
      <c r="E429" s="19">
        <v>2.74</v>
      </c>
      <c r="F429" s="19">
        <v>3.23</v>
      </c>
      <c r="G429" s="20">
        <v>17.559999999999999</v>
      </c>
      <c r="H429" s="20">
        <v>13.43</v>
      </c>
      <c r="I429" s="20">
        <v>30.55</v>
      </c>
      <c r="J429" s="20">
        <v>959.89</v>
      </c>
      <c r="K429" s="32">
        <v>1048269.6299999999</v>
      </c>
      <c r="L429" s="2"/>
    </row>
    <row r="430" spans="1:12" x14ac:dyDescent="0.25">
      <c r="A430" s="58">
        <v>46071</v>
      </c>
      <c r="B430" s="18">
        <v>0.125</v>
      </c>
      <c r="C430" s="19">
        <v>7.48</v>
      </c>
      <c r="D430" s="19">
        <v>73.63</v>
      </c>
      <c r="E430" s="19">
        <v>2.74</v>
      </c>
      <c r="F430" s="19">
        <v>7.09</v>
      </c>
      <c r="G430" s="20">
        <v>17.57</v>
      </c>
      <c r="H430" s="20">
        <v>13.43</v>
      </c>
      <c r="I430" s="20">
        <v>30.46</v>
      </c>
      <c r="J430" s="20">
        <v>959.78</v>
      </c>
      <c r="K430" s="32">
        <v>1049154.8</v>
      </c>
      <c r="L430" s="2"/>
    </row>
    <row r="431" spans="1:12" x14ac:dyDescent="0.25">
      <c r="A431" s="58">
        <v>46071</v>
      </c>
      <c r="B431" s="18">
        <v>0.16666666666666666</v>
      </c>
      <c r="C431" s="19">
        <v>8.24</v>
      </c>
      <c r="D431" s="19">
        <v>74.84</v>
      </c>
      <c r="E431" s="19">
        <v>2.94</v>
      </c>
      <c r="F431" s="19">
        <v>3.08</v>
      </c>
      <c r="G431" s="20">
        <v>17.579999999999998</v>
      </c>
      <c r="H431" s="20">
        <v>13.42</v>
      </c>
      <c r="I431" s="20">
        <v>30.27</v>
      </c>
      <c r="J431" s="20">
        <v>959.82</v>
      </c>
      <c r="K431" s="32">
        <v>1039794.6100000001</v>
      </c>
      <c r="L431" s="2"/>
    </row>
    <row r="432" spans="1:12" x14ac:dyDescent="0.25">
      <c r="A432" s="58">
        <v>46071</v>
      </c>
      <c r="B432" s="18">
        <v>0.20833333333333334</v>
      </c>
      <c r="C432" s="19">
        <v>6.92</v>
      </c>
      <c r="D432" s="19">
        <v>73.53</v>
      </c>
      <c r="E432" s="19">
        <v>2.57</v>
      </c>
      <c r="F432" s="19">
        <v>1.03</v>
      </c>
      <c r="G432" s="20">
        <v>17.57</v>
      </c>
      <c r="H432" s="20">
        <v>13.41</v>
      </c>
      <c r="I432" s="20">
        <v>30.19</v>
      </c>
      <c r="J432" s="20">
        <v>960.08</v>
      </c>
      <c r="K432" s="32">
        <v>1041204.3899999999</v>
      </c>
      <c r="L432" s="2"/>
    </row>
    <row r="433" spans="1:12" x14ac:dyDescent="0.25">
      <c r="A433" s="58">
        <v>46071</v>
      </c>
      <c r="B433" s="18">
        <v>0.25</v>
      </c>
      <c r="C433" s="19">
        <v>6.42</v>
      </c>
      <c r="D433" s="19">
        <v>73.150000000000006</v>
      </c>
      <c r="E433" s="19">
        <v>2.8</v>
      </c>
      <c r="F433" s="19">
        <v>5.04</v>
      </c>
      <c r="G433" s="20">
        <v>17.54</v>
      </c>
      <c r="H433" s="20">
        <v>13.41</v>
      </c>
      <c r="I433" s="20">
        <v>30.25</v>
      </c>
      <c r="J433" s="20">
        <v>960.28</v>
      </c>
      <c r="K433" s="32">
        <v>1042523.03</v>
      </c>
      <c r="L433" s="2"/>
    </row>
    <row r="434" spans="1:12" x14ac:dyDescent="0.25">
      <c r="A434" s="58">
        <v>46071</v>
      </c>
      <c r="B434" s="18">
        <v>0.29166666666666669</v>
      </c>
      <c r="C434" s="19">
        <v>7.58</v>
      </c>
      <c r="D434" s="19">
        <v>73.37</v>
      </c>
      <c r="E434" s="19">
        <v>2.81</v>
      </c>
      <c r="F434" s="19">
        <v>3.01</v>
      </c>
      <c r="G434" s="20">
        <v>17.55</v>
      </c>
      <c r="H434" s="20">
        <v>13.41</v>
      </c>
      <c r="I434" s="20">
        <v>30.31</v>
      </c>
      <c r="J434" s="20">
        <v>960.74</v>
      </c>
      <c r="K434" s="32">
        <v>1054655.44</v>
      </c>
      <c r="L434" s="2"/>
    </row>
    <row r="435" spans="1:12" x14ac:dyDescent="0.25">
      <c r="A435" s="58">
        <v>46071</v>
      </c>
      <c r="B435" s="18">
        <v>0.33333333333333331</v>
      </c>
      <c r="C435" s="20">
        <v>6.03</v>
      </c>
      <c r="D435" s="20">
        <v>79.290000000000006</v>
      </c>
      <c r="E435" s="20">
        <v>2.38</v>
      </c>
      <c r="F435" s="20">
        <v>4.96</v>
      </c>
      <c r="G435" s="20">
        <v>17.540000000000003</v>
      </c>
      <c r="H435" s="20">
        <v>13.47</v>
      </c>
      <c r="I435" s="20">
        <v>31.520000000000003</v>
      </c>
      <c r="J435" s="20">
        <v>960.24</v>
      </c>
      <c r="K435" s="32">
        <v>1030840.03</v>
      </c>
      <c r="L435" s="1"/>
    </row>
    <row r="436" spans="1:12" x14ac:dyDescent="0.25">
      <c r="A436" s="58">
        <v>46071</v>
      </c>
      <c r="B436" s="18">
        <v>0.375</v>
      </c>
      <c r="C436" s="20">
        <v>5.88</v>
      </c>
      <c r="D436" s="20">
        <v>78.52</v>
      </c>
      <c r="E436" s="20">
        <v>2.5099999999999998</v>
      </c>
      <c r="F436" s="20">
        <v>5.33</v>
      </c>
      <c r="G436" s="20">
        <v>17.59</v>
      </c>
      <c r="H436" s="20">
        <v>13.48</v>
      </c>
      <c r="I436" s="20">
        <v>31.65</v>
      </c>
      <c r="J436" s="20">
        <v>960.32</v>
      </c>
      <c r="K436" s="32">
        <v>1026973.35</v>
      </c>
      <c r="L436" s="1"/>
    </row>
    <row r="437" spans="1:12" x14ac:dyDescent="0.25">
      <c r="A437" s="58">
        <v>46071</v>
      </c>
      <c r="B437" s="18">
        <v>0.41666666666666669</v>
      </c>
      <c r="C437" s="20">
        <v>5.66</v>
      </c>
      <c r="D437" s="20">
        <v>76.28</v>
      </c>
      <c r="E437" s="20">
        <v>2.59</v>
      </c>
      <c r="F437" s="20">
        <v>5.22</v>
      </c>
      <c r="G437" s="20">
        <v>17.580000000000002</v>
      </c>
      <c r="H437" s="20">
        <v>13.5</v>
      </c>
      <c r="I437" s="20">
        <v>32.35</v>
      </c>
      <c r="J437" s="20">
        <v>960.45</v>
      </c>
      <c r="K437" s="32">
        <v>1017160.31</v>
      </c>
      <c r="L437" s="1"/>
    </row>
    <row r="438" spans="1:12" x14ac:dyDescent="0.25">
      <c r="A438" s="58">
        <v>46071</v>
      </c>
      <c r="B438" s="18">
        <v>0.45833333333333331</v>
      </c>
      <c r="C438" s="20">
        <v>5.55</v>
      </c>
      <c r="D438" s="20">
        <v>76.58</v>
      </c>
      <c r="E438" s="20">
        <v>2.4900000000000002</v>
      </c>
      <c r="F438" s="20">
        <v>2.34</v>
      </c>
      <c r="G438" s="20">
        <v>17.59</v>
      </c>
      <c r="H438" s="20">
        <v>13.55</v>
      </c>
      <c r="I438" s="20">
        <v>33.25</v>
      </c>
      <c r="J438" s="20">
        <v>960.3</v>
      </c>
      <c r="K438" s="32">
        <v>1015287.51</v>
      </c>
      <c r="L438" s="1"/>
    </row>
    <row r="439" spans="1:12" x14ac:dyDescent="0.25">
      <c r="A439" s="58">
        <v>46071</v>
      </c>
      <c r="B439" s="18">
        <v>0.5</v>
      </c>
      <c r="C439" s="20">
        <v>5.4</v>
      </c>
      <c r="D439" s="20">
        <v>74.010000000000005</v>
      </c>
      <c r="E439" s="20">
        <v>2.4500000000000002</v>
      </c>
      <c r="F439" s="20">
        <v>4.47</v>
      </c>
      <c r="G439" s="20">
        <v>17.510000000000002</v>
      </c>
      <c r="H439" s="20">
        <v>13.59</v>
      </c>
      <c r="I439" s="20">
        <v>34.19</v>
      </c>
      <c r="J439" s="20">
        <v>959.91</v>
      </c>
      <c r="K439" s="32">
        <v>1006854.62</v>
      </c>
      <c r="L439" s="1"/>
    </row>
    <row r="440" spans="1:12" x14ac:dyDescent="0.25">
      <c r="A440" s="58">
        <v>46071</v>
      </c>
      <c r="B440" s="18">
        <v>0.54166666666666663</v>
      </c>
      <c r="C440" s="20">
        <v>4.71</v>
      </c>
      <c r="D440" s="20">
        <v>73.64</v>
      </c>
      <c r="E440" s="20">
        <v>2.4500000000000002</v>
      </c>
      <c r="F440" s="20">
        <v>3.67</v>
      </c>
      <c r="G440" s="20">
        <v>17.520000000000003</v>
      </c>
      <c r="H440" s="20">
        <v>13.64</v>
      </c>
      <c r="I440" s="20">
        <v>35.21</v>
      </c>
      <c r="J440" s="20">
        <v>959.53</v>
      </c>
      <c r="K440" s="32">
        <v>990439.25</v>
      </c>
      <c r="L440" s="1"/>
    </row>
    <row r="441" spans="1:12" x14ac:dyDescent="0.25">
      <c r="A441" s="58">
        <v>46071</v>
      </c>
      <c r="B441" s="18">
        <v>0.58333333333333337</v>
      </c>
      <c r="C441" s="20">
        <v>5.78</v>
      </c>
      <c r="D441" s="20">
        <v>74.099999999999994</v>
      </c>
      <c r="E441" s="20">
        <v>2.54</v>
      </c>
      <c r="F441" s="20">
        <v>2.15</v>
      </c>
      <c r="G441" s="20">
        <v>17.510000000000002</v>
      </c>
      <c r="H441" s="20">
        <v>13.69</v>
      </c>
      <c r="I441" s="20">
        <v>36.07</v>
      </c>
      <c r="J441" s="20">
        <v>959.19</v>
      </c>
      <c r="K441" s="32">
        <v>974782.06</v>
      </c>
      <c r="L441" s="1"/>
    </row>
    <row r="442" spans="1:12" x14ac:dyDescent="0.25">
      <c r="A442" s="58">
        <v>46071</v>
      </c>
      <c r="B442" s="18">
        <v>0.625</v>
      </c>
      <c r="C442" s="20">
        <v>5.77</v>
      </c>
      <c r="D442" s="20">
        <v>73.72</v>
      </c>
      <c r="E442" s="20">
        <v>2.42</v>
      </c>
      <c r="F442" s="20">
        <v>1.83</v>
      </c>
      <c r="G442" s="20">
        <v>17.510000000000002</v>
      </c>
      <c r="H442" s="20">
        <v>13.72</v>
      </c>
      <c r="I442" s="20">
        <v>36.700000000000003</v>
      </c>
      <c r="J442" s="20">
        <v>959.05</v>
      </c>
      <c r="K442" s="32">
        <v>965990.69</v>
      </c>
      <c r="L442" s="1"/>
    </row>
    <row r="443" spans="1:12" x14ac:dyDescent="0.25">
      <c r="A443" s="58">
        <v>46071</v>
      </c>
      <c r="B443" s="18">
        <v>0.66666666666666663</v>
      </c>
      <c r="C443" s="20">
        <v>6.55</v>
      </c>
      <c r="D443" s="20">
        <v>74.47</v>
      </c>
      <c r="E443" s="20">
        <v>2.5</v>
      </c>
      <c r="F443" s="20">
        <v>3.21</v>
      </c>
      <c r="G443" s="20">
        <v>17.5</v>
      </c>
      <c r="H443" s="20">
        <v>13.73</v>
      </c>
      <c r="I443" s="20">
        <v>36.770000000000003</v>
      </c>
      <c r="J443" s="20">
        <v>958.65</v>
      </c>
      <c r="K443" s="32">
        <v>960446.93</v>
      </c>
      <c r="L443" s="1"/>
    </row>
    <row r="444" spans="1:12" x14ac:dyDescent="0.25">
      <c r="A444" s="58">
        <v>46071</v>
      </c>
      <c r="B444" s="18">
        <v>0.70833333333333337</v>
      </c>
      <c r="C444" s="20">
        <v>5.3</v>
      </c>
      <c r="D444" s="20">
        <v>72.88</v>
      </c>
      <c r="E444" s="20">
        <v>2.35</v>
      </c>
      <c r="F444" s="20">
        <v>1.34</v>
      </c>
      <c r="G444" s="20">
        <v>17.490000000000002</v>
      </c>
      <c r="H444" s="20">
        <v>13.71</v>
      </c>
      <c r="I444" s="20">
        <v>36.369999999999997</v>
      </c>
      <c r="J444" s="20">
        <v>958.64</v>
      </c>
      <c r="K444" s="32">
        <v>963495.86</v>
      </c>
      <c r="L444" s="1"/>
    </row>
    <row r="445" spans="1:12" x14ac:dyDescent="0.25">
      <c r="A445" s="58">
        <v>46071</v>
      </c>
      <c r="B445" s="18">
        <v>0.75</v>
      </c>
      <c r="C445" s="20">
        <v>4.95</v>
      </c>
      <c r="D445" s="20">
        <v>72.989999999999995</v>
      </c>
      <c r="E445" s="20">
        <v>2.0299999999999998</v>
      </c>
      <c r="F445" s="20">
        <v>1.06</v>
      </c>
      <c r="G445" s="20">
        <v>17.470000000000002</v>
      </c>
      <c r="H445" s="20">
        <v>13.7</v>
      </c>
      <c r="I445" s="20">
        <v>36.299999999999997</v>
      </c>
      <c r="J445" s="20">
        <v>958.66</v>
      </c>
      <c r="K445" s="32">
        <v>965838.64</v>
      </c>
      <c r="L445" s="1"/>
    </row>
    <row r="446" spans="1:12" x14ac:dyDescent="0.25">
      <c r="A446" s="58">
        <v>46071</v>
      </c>
      <c r="B446" s="18">
        <v>0.79166666666666663</v>
      </c>
      <c r="C446" s="20">
        <v>5.49</v>
      </c>
      <c r="D446" s="20">
        <v>73.33</v>
      </c>
      <c r="E446" s="20">
        <v>1.84</v>
      </c>
      <c r="F446" s="20">
        <v>2.06</v>
      </c>
      <c r="G446" s="20">
        <v>17.450000000000003</v>
      </c>
      <c r="H446" s="20">
        <v>13.71</v>
      </c>
      <c r="I446" s="20">
        <v>36.229999999999997</v>
      </c>
      <c r="J446" s="20">
        <v>958.33</v>
      </c>
      <c r="K446" s="32">
        <v>972094.3</v>
      </c>
      <c r="L446" s="1"/>
    </row>
    <row r="447" spans="1:12" x14ac:dyDescent="0.25">
      <c r="A447" s="58">
        <v>46071</v>
      </c>
      <c r="B447" s="18">
        <v>0.83333333333333337</v>
      </c>
      <c r="C447" s="20">
        <v>5.16</v>
      </c>
      <c r="D447" s="20">
        <v>72.900000000000006</v>
      </c>
      <c r="E447" s="20">
        <v>1.81</v>
      </c>
      <c r="F447" s="20">
        <v>5.81</v>
      </c>
      <c r="G447" s="20">
        <v>17.440000000000001</v>
      </c>
      <c r="H447" s="20">
        <v>13.69</v>
      </c>
      <c r="I447" s="20">
        <v>35.840000000000003</v>
      </c>
      <c r="J447" s="20">
        <v>958</v>
      </c>
      <c r="K447" s="32">
        <v>971757.38</v>
      </c>
      <c r="L447" s="1"/>
    </row>
    <row r="448" spans="1:12" x14ac:dyDescent="0.25">
      <c r="A448" s="58">
        <v>46071</v>
      </c>
      <c r="B448" s="18">
        <v>0.875</v>
      </c>
      <c r="C448" s="20">
        <v>5.41</v>
      </c>
      <c r="D448" s="20">
        <v>74.58</v>
      </c>
      <c r="E448" s="20">
        <v>1.83</v>
      </c>
      <c r="F448" s="20">
        <v>3.52</v>
      </c>
      <c r="G448" s="20">
        <v>17.450000000000003</v>
      </c>
      <c r="H448" s="20">
        <v>13.68</v>
      </c>
      <c r="I448" s="20">
        <v>35.49</v>
      </c>
      <c r="J448" s="20">
        <v>957.85</v>
      </c>
      <c r="K448" s="32">
        <v>975076.7</v>
      </c>
      <c r="L448" s="1"/>
    </row>
    <row r="449" spans="1:12" x14ac:dyDescent="0.25">
      <c r="A449" s="58">
        <v>46071</v>
      </c>
      <c r="B449" s="18">
        <v>0.91666666666666663</v>
      </c>
      <c r="C449" s="20">
        <v>5.37</v>
      </c>
      <c r="D449" s="20">
        <v>74.510000000000005</v>
      </c>
      <c r="E449" s="20">
        <v>1.76</v>
      </c>
      <c r="F449" s="20">
        <v>6.09</v>
      </c>
      <c r="G449" s="20">
        <v>17.450000000000003</v>
      </c>
      <c r="H449" s="20">
        <v>13.66</v>
      </c>
      <c r="I449" s="20">
        <v>34.99</v>
      </c>
      <c r="J449" s="20">
        <v>957.67</v>
      </c>
      <c r="K449" s="32">
        <v>976615.55</v>
      </c>
      <c r="L449" s="1"/>
    </row>
    <row r="450" spans="1:12" ht="15.75" thickBot="1" x14ac:dyDescent="0.3">
      <c r="A450" s="60">
        <v>46071</v>
      </c>
      <c r="B450" s="35">
        <v>0.95833333333333337</v>
      </c>
      <c r="C450" s="24">
        <v>5.67</v>
      </c>
      <c r="D450" s="24">
        <v>75.94</v>
      </c>
      <c r="E450" s="24">
        <v>1.74</v>
      </c>
      <c r="F450" s="24">
        <v>4.0599999999999996</v>
      </c>
      <c r="G450" s="24">
        <v>17.450000000000003</v>
      </c>
      <c r="H450" s="24">
        <v>13.64</v>
      </c>
      <c r="I450" s="24">
        <v>34.590000000000003</v>
      </c>
      <c r="J450" s="24">
        <v>957.54</v>
      </c>
      <c r="K450" s="36">
        <v>974290.65</v>
      </c>
      <c r="L450" s="1"/>
    </row>
    <row r="451" spans="1:12" ht="15.75" thickBot="1" x14ac:dyDescent="0.3">
      <c r="A451" s="26" t="s">
        <v>62</v>
      </c>
      <c r="B451" s="44"/>
      <c r="C451" s="45">
        <f t="shared" ref="C451:K451" si="17">IFERROR(ROUND(AVERAGE(C427:C450), 2), "")</f>
        <v>6.16</v>
      </c>
      <c r="D451" s="45">
        <f t="shared" si="17"/>
        <v>74.64</v>
      </c>
      <c r="E451" s="45">
        <f t="shared" si="17"/>
        <v>2.4</v>
      </c>
      <c r="F451" s="45">
        <f t="shared" si="17"/>
        <v>3.39</v>
      </c>
      <c r="G451" s="45">
        <f t="shared" si="17"/>
        <v>17.52</v>
      </c>
      <c r="H451" s="45">
        <f t="shared" si="17"/>
        <v>13.57</v>
      </c>
      <c r="I451" s="45">
        <f t="shared" si="17"/>
        <v>33.42</v>
      </c>
      <c r="J451" s="45">
        <f t="shared" si="17"/>
        <v>959.33</v>
      </c>
      <c r="K451" s="46">
        <f t="shared" si="17"/>
        <v>1007477.49</v>
      </c>
      <c r="L451" s="7"/>
    </row>
    <row r="452" spans="1:12" x14ac:dyDescent="0.25">
      <c r="A452" s="57">
        <v>46072</v>
      </c>
      <c r="B452" s="14">
        <v>0</v>
      </c>
      <c r="C452" s="16">
        <v>5.89</v>
      </c>
      <c r="D452" s="16">
        <v>75.88</v>
      </c>
      <c r="E452" s="16">
        <v>1.82</v>
      </c>
      <c r="F452" s="16">
        <v>2.92</v>
      </c>
      <c r="G452" s="16">
        <v>17.440000000000001</v>
      </c>
      <c r="H452" s="15">
        <v>13.63</v>
      </c>
      <c r="I452" s="16">
        <v>34.33</v>
      </c>
      <c r="J452" s="16">
        <v>958.06</v>
      </c>
      <c r="K452" s="31">
        <v>961070.4</v>
      </c>
      <c r="L452" s="1"/>
    </row>
    <row r="453" spans="1:12" x14ac:dyDescent="0.25">
      <c r="A453" s="58">
        <v>46072</v>
      </c>
      <c r="B453" s="18">
        <v>4.1666666666666664E-2</v>
      </c>
      <c r="C453" s="20">
        <v>4.9800000000000004</v>
      </c>
      <c r="D453" s="20">
        <v>76.81</v>
      </c>
      <c r="E453" s="20">
        <v>1.78</v>
      </c>
      <c r="F453" s="20">
        <v>2.2400000000000002</v>
      </c>
      <c r="G453" s="20">
        <v>17.399999999999999</v>
      </c>
      <c r="H453" s="19">
        <v>13.57</v>
      </c>
      <c r="I453" s="20">
        <v>33.54</v>
      </c>
      <c r="J453" s="20">
        <v>959.69</v>
      </c>
      <c r="K453" s="32">
        <v>973515.68</v>
      </c>
      <c r="L453" s="1"/>
    </row>
    <row r="454" spans="1:12" x14ac:dyDescent="0.25">
      <c r="A454" s="58">
        <v>46072</v>
      </c>
      <c r="B454" s="18">
        <v>8.3333333333333329E-2</v>
      </c>
      <c r="C454" s="20">
        <v>4.92</v>
      </c>
      <c r="D454" s="20">
        <v>75.88</v>
      </c>
      <c r="E454" s="20">
        <v>1.86</v>
      </c>
      <c r="F454" s="20">
        <v>1.83</v>
      </c>
      <c r="G454" s="20">
        <v>17.37</v>
      </c>
      <c r="H454" s="19">
        <v>13.56</v>
      </c>
      <c r="I454" s="20">
        <v>33.24</v>
      </c>
      <c r="J454" s="20">
        <v>959.2</v>
      </c>
      <c r="K454" s="32">
        <v>982788.12</v>
      </c>
      <c r="L454" s="1"/>
    </row>
    <row r="455" spans="1:12" x14ac:dyDescent="0.25">
      <c r="A455" s="58">
        <v>46072</v>
      </c>
      <c r="B455" s="18">
        <v>0.125</v>
      </c>
      <c r="C455" s="20">
        <v>5.2</v>
      </c>
      <c r="D455" s="20">
        <v>75.41</v>
      </c>
      <c r="E455" s="20">
        <v>1.92</v>
      </c>
      <c r="F455" s="20">
        <v>1.64</v>
      </c>
      <c r="G455" s="20">
        <v>17.37</v>
      </c>
      <c r="H455" s="19">
        <v>13.55</v>
      </c>
      <c r="I455" s="20">
        <v>32.83</v>
      </c>
      <c r="J455" s="20">
        <v>958.59</v>
      </c>
      <c r="K455" s="32">
        <v>985583.03</v>
      </c>
      <c r="L455" s="1"/>
    </row>
    <row r="456" spans="1:12" x14ac:dyDescent="0.25">
      <c r="A456" s="58">
        <v>46072</v>
      </c>
      <c r="B456" s="18">
        <v>0.16666666666666666</v>
      </c>
      <c r="C456" s="20">
        <v>5.69</v>
      </c>
      <c r="D456" s="20">
        <v>75.650000000000006</v>
      </c>
      <c r="E456" s="20">
        <v>1.91</v>
      </c>
      <c r="F456" s="20">
        <v>1.37</v>
      </c>
      <c r="G456" s="20">
        <v>17.38</v>
      </c>
      <c r="H456" s="19">
        <v>13.54</v>
      </c>
      <c r="I456" s="20">
        <v>32.36</v>
      </c>
      <c r="J456" s="20">
        <v>958.12</v>
      </c>
      <c r="K456" s="32">
        <v>986463.69</v>
      </c>
      <c r="L456" s="1"/>
    </row>
    <row r="457" spans="1:12" x14ac:dyDescent="0.25">
      <c r="A457" s="58">
        <v>46072</v>
      </c>
      <c r="B457" s="18">
        <v>0.20833333333333334</v>
      </c>
      <c r="C457" s="20">
        <v>5.26</v>
      </c>
      <c r="D457" s="20">
        <v>75.239999999999995</v>
      </c>
      <c r="E457" s="20">
        <v>1.87</v>
      </c>
      <c r="F457" s="20">
        <v>1.19</v>
      </c>
      <c r="G457" s="20">
        <v>17.38</v>
      </c>
      <c r="H457" s="19">
        <v>13.52</v>
      </c>
      <c r="I457" s="20">
        <v>31.97</v>
      </c>
      <c r="J457" s="20">
        <v>958.2</v>
      </c>
      <c r="K457" s="32">
        <v>990025.82</v>
      </c>
      <c r="L457" s="1"/>
    </row>
    <row r="458" spans="1:12" x14ac:dyDescent="0.25">
      <c r="A458" s="58">
        <v>46072</v>
      </c>
      <c r="B458" s="18">
        <v>0.25</v>
      </c>
      <c r="C458" s="20">
        <v>5.3</v>
      </c>
      <c r="D458" s="20">
        <v>72.13</v>
      </c>
      <c r="E458" s="20">
        <v>1.81</v>
      </c>
      <c r="F458" s="20">
        <v>3.68</v>
      </c>
      <c r="G458" s="20">
        <v>17.29</v>
      </c>
      <c r="H458" s="19">
        <v>13.52</v>
      </c>
      <c r="I458" s="20">
        <v>31.939999999999998</v>
      </c>
      <c r="J458" s="20">
        <v>958.19</v>
      </c>
      <c r="K458" s="32">
        <v>995159.88</v>
      </c>
      <c r="L458" s="1"/>
    </row>
    <row r="459" spans="1:12" x14ac:dyDescent="0.25">
      <c r="A459" s="58">
        <v>46072</v>
      </c>
      <c r="B459" s="18">
        <v>0.29166666666666669</v>
      </c>
      <c r="C459" s="20">
        <v>5.1100000000000003</v>
      </c>
      <c r="D459" s="20">
        <v>71.650000000000006</v>
      </c>
      <c r="E459" s="20">
        <v>1.92</v>
      </c>
      <c r="F459" s="20">
        <v>3.3</v>
      </c>
      <c r="G459" s="20">
        <v>17.239999999999998</v>
      </c>
      <c r="H459" s="19">
        <v>13.52</v>
      </c>
      <c r="I459" s="20">
        <v>32.1</v>
      </c>
      <c r="J459" s="20">
        <v>958.23</v>
      </c>
      <c r="K459" s="32">
        <v>997501.99</v>
      </c>
      <c r="L459" s="1"/>
    </row>
    <row r="460" spans="1:12" x14ac:dyDescent="0.25">
      <c r="A460" s="58">
        <v>46072</v>
      </c>
      <c r="B460" s="18">
        <v>0.33333333333333331</v>
      </c>
      <c r="C460" s="20">
        <v>6.02</v>
      </c>
      <c r="D460" s="20">
        <v>72.75</v>
      </c>
      <c r="E460" s="20">
        <v>1.97</v>
      </c>
      <c r="F460" s="20">
        <v>2.74</v>
      </c>
      <c r="G460" s="20">
        <v>17.29</v>
      </c>
      <c r="H460" s="19">
        <v>13.51</v>
      </c>
      <c r="I460" s="20">
        <v>31.86</v>
      </c>
      <c r="J460" s="20">
        <v>958.73</v>
      </c>
      <c r="K460" s="32">
        <v>1005132.34</v>
      </c>
      <c r="L460" s="1"/>
    </row>
    <row r="461" spans="1:12" x14ac:dyDescent="0.25">
      <c r="A461" s="58">
        <v>46072</v>
      </c>
      <c r="B461" s="18">
        <v>0.375</v>
      </c>
      <c r="C461" s="20">
        <v>4.6399999999999997</v>
      </c>
      <c r="D461" s="20">
        <v>74.03</v>
      </c>
      <c r="E461" s="20">
        <v>2.12</v>
      </c>
      <c r="F461" s="20">
        <v>2.88</v>
      </c>
      <c r="G461" s="20">
        <v>17.34</v>
      </c>
      <c r="H461" s="19">
        <v>13.51</v>
      </c>
      <c r="I461" s="20">
        <v>32.18</v>
      </c>
      <c r="J461" s="20">
        <v>959.4</v>
      </c>
      <c r="K461" s="32">
        <v>1007006.98</v>
      </c>
      <c r="L461" s="1"/>
    </row>
    <row r="462" spans="1:12" x14ac:dyDescent="0.25">
      <c r="A462" s="58">
        <v>46072</v>
      </c>
      <c r="B462" s="18">
        <v>0.41666666666666669</v>
      </c>
      <c r="C462" s="20">
        <v>5.17</v>
      </c>
      <c r="D462" s="20">
        <v>74.099999999999994</v>
      </c>
      <c r="E462" s="20">
        <v>2.17</v>
      </c>
      <c r="F462" s="20">
        <v>4.45</v>
      </c>
      <c r="G462" s="20">
        <v>17.329999999999998</v>
      </c>
      <c r="H462" s="19">
        <v>13.54</v>
      </c>
      <c r="I462" s="20">
        <v>33.01</v>
      </c>
      <c r="J462" s="20">
        <v>959.67</v>
      </c>
      <c r="K462" s="32">
        <v>1000718.07</v>
      </c>
      <c r="L462" s="1"/>
    </row>
    <row r="463" spans="1:12" x14ac:dyDescent="0.25">
      <c r="A463" s="58">
        <v>46072</v>
      </c>
      <c r="B463" s="18">
        <v>0.45833333333333331</v>
      </c>
      <c r="C463" s="20">
        <v>5.61</v>
      </c>
      <c r="D463" s="20">
        <v>74.319999999999993</v>
      </c>
      <c r="E463" s="20">
        <v>2.27</v>
      </c>
      <c r="F463" s="20">
        <v>3.72</v>
      </c>
      <c r="G463" s="20">
        <v>17.32</v>
      </c>
      <c r="H463" s="19">
        <v>13.6</v>
      </c>
      <c r="I463" s="20">
        <v>34.17</v>
      </c>
      <c r="J463" s="20">
        <v>959.52</v>
      </c>
      <c r="K463" s="32">
        <v>993575.95</v>
      </c>
      <c r="L463" s="1"/>
    </row>
    <row r="464" spans="1:12" x14ac:dyDescent="0.25">
      <c r="A464" s="58">
        <v>46072</v>
      </c>
      <c r="B464" s="18">
        <v>0.5</v>
      </c>
      <c r="C464" s="19">
        <v>1.49</v>
      </c>
      <c r="D464" s="19">
        <v>70.650000000000006</v>
      </c>
      <c r="E464" s="19">
        <v>2.71</v>
      </c>
      <c r="F464" s="19">
        <v>0.72</v>
      </c>
      <c r="G464" s="19">
        <v>17.32</v>
      </c>
      <c r="H464" s="19">
        <v>13.63</v>
      </c>
      <c r="I464" s="19">
        <v>35.18</v>
      </c>
      <c r="J464" s="19">
        <v>960.66</v>
      </c>
      <c r="K464" s="32">
        <v>989308.33000000007</v>
      </c>
      <c r="L464" s="1"/>
    </row>
    <row r="465" spans="1:12" x14ac:dyDescent="0.25">
      <c r="A465" s="58">
        <v>46072</v>
      </c>
      <c r="B465" s="18">
        <v>0.54166666666666663</v>
      </c>
      <c r="C465" s="19">
        <v>0.26</v>
      </c>
      <c r="D465" s="19">
        <v>72.13</v>
      </c>
      <c r="E465" s="19">
        <v>2.3199999999999998</v>
      </c>
      <c r="F465" s="19">
        <v>2.97</v>
      </c>
      <c r="G465" s="19">
        <v>17.28</v>
      </c>
      <c r="H465" s="19">
        <v>13.6</v>
      </c>
      <c r="I465" s="19">
        <v>34.869999999999997</v>
      </c>
      <c r="J465" s="19">
        <v>961.43</v>
      </c>
      <c r="K465" s="32">
        <v>966427.25</v>
      </c>
      <c r="L465" s="1"/>
    </row>
    <row r="466" spans="1:12" x14ac:dyDescent="0.25">
      <c r="A466" s="58">
        <v>46072</v>
      </c>
      <c r="B466" s="18">
        <v>0.58333333333333337</v>
      </c>
      <c r="C466" s="19">
        <v>1.69</v>
      </c>
      <c r="D466" s="19">
        <v>72.099999999999994</v>
      </c>
      <c r="E466" s="19">
        <v>2.12</v>
      </c>
      <c r="F466" s="19">
        <v>2.54</v>
      </c>
      <c r="G466" s="19">
        <v>17.27</v>
      </c>
      <c r="H466" s="19">
        <v>13.62</v>
      </c>
      <c r="I466" s="19">
        <v>35.29</v>
      </c>
      <c r="J466" s="19">
        <v>961.31</v>
      </c>
      <c r="K466" s="32">
        <v>953468.42999999993</v>
      </c>
      <c r="L466" s="1"/>
    </row>
    <row r="467" spans="1:12" x14ac:dyDescent="0.25">
      <c r="A467" s="58">
        <v>46072</v>
      </c>
      <c r="B467" s="18">
        <v>0.625</v>
      </c>
      <c r="C467" s="19">
        <v>7.34</v>
      </c>
      <c r="D467" s="19">
        <v>72.510000000000005</v>
      </c>
      <c r="E467" s="19">
        <v>2.19</v>
      </c>
      <c r="F467" s="19">
        <v>2.91</v>
      </c>
      <c r="G467" s="19">
        <v>17.29</v>
      </c>
      <c r="H467" s="19">
        <v>13.63</v>
      </c>
      <c r="I467" s="19">
        <v>35.44</v>
      </c>
      <c r="J467" s="19">
        <v>961.39</v>
      </c>
      <c r="K467" s="32">
        <v>945391.67999999993</v>
      </c>
      <c r="L467" s="1"/>
    </row>
    <row r="468" spans="1:12" x14ac:dyDescent="0.25">
      <c r="A468" s="58">
        <v>46072</v>
      </c>
      <c r="B468" s="18">
        <v>0.66666666666666663</v>
      </c>
      <c r="C468" s="19">
        <v>7.1</v>
      </c>
      <c r="D468" s="19">
        <v>71.930000000000007</v>
      </c>
      <c r="E468" s="19">
        <v>2.5499999999999998</v>
      </c>
      <c r="F468" s="19">
        <v>4.3</v>
      </c>
      <c r="G468" s="19">
        <v>17.3</v>
      </c>
      <c r="H468" s="19">
        <v>13.62</v>
      </c>
      <c r="I468" s="19">
        <v>35.4</v>
      </c>
      <c r="J468" s="19">
        <v>961.48</v>
      </c>
      <c r="K468" s="32">
        <v>947846.73</v>
      </c>
      <c r="L468" s="1"/>
    </row>
    <row r="469" spans="1:12" x14ac:dyDescent="0.25">
      <c r="A469" s="58">
        <v>46072</v>
      </c>
      <c r="B469" s="18">
        <v>0.70833333333333337</v>
      </c>
      <c r="C469" s="19">
        <v>8.91</v>
      </c>
      <c r="D469" s="19">
        <v>73.040000000000006</v>
      </c>
      <c r="E469" s="19">
        <v>2.27</v>
      </c>
      <c r="F469" s="19">
        <v>3.56</v>
      </c>
      <c r="G469" s="19">
        <v>17.309999999999999</v>
      </c>
      <c r="H469" s="19">
        <v>13.61</v>
      </c>
      <c r="I469" s="19">
        <v>35.07</v>
      </c>
      <c r="J469" s="19">
        <v>961.46</v>
      </c>
      <c r="K469" s="32">
        <v>957816.59000000008</v>
      </c>
      <c r="L469" s="1"/>
    </row>
    <row r="470" spans="1:12" x14ac:dyDescent="0.25">
      <c r="A470" s="58">
        <v>46072</v>
      </c>
      <c r="B470" s="18">
        <v>0.75</v>
      </c>
      <c r="C470" s="19">
        <v>7.23</v>
      </c>
      <c r="D470" s="19">
        <v>72.16</v>
      </c>
      <c r="E470" s="19">
        <v>2.67</v>
      </c>
      <c r="F470" s="19">
        <v>3.34</v>
      </c>
      <c r="G470" s="19">
        <v>17.3</v>
      </c>
      <c r="H470" s="19">
        <v>13.59</v>
      </c>
      <c r="I470" s="19">
        <v>34.700000000000003</v>
      </c>
      <c r="J470" s="19">
        <v>961.6</v>
      </c>
      <c r="K470" s="32">
        <v>960730.59000000008</v>
      </c>
      <c r="L470" s="1"/>
    </row>
    <row r="471" spans="1:12" x14ac:dyDescent="0.25">
      <c r="A471" s="58">
        <v>46072</v>
      </c>
      <c r="B471" s="18">
        <v>0.79166666666666663</v>
      </c>
      <c r="C471" s="19">
        <v>7.61</v>
      </c>
      <c r="D471" s="19">
        <v>73.27</v>
      </c>
      <c r="E471" s="19">
        <v>2.92</v>
      </c>
      <c r="F471" s="19">
        <v>4.28</v>
      </c>
      <c r="G471" s="19">
        <v>17.29</v>
      </c>
      <c r="H471" s="19">
        <v>13.58</v>
      </c>
      <c r="I471" s="19">
        <v>34.4</v>
      </c>
      <c r="J471" s="19">
        <v>961.55</v>
      </c>
      <c r="K471" s="32">
        <v>966319.67999999993</v>
      </c>
      <c r="L471" s="1"/>
    </row>
    <row r="472" spans="1:12" x14ac:dyDescent="0.25">
      <c r="A472" s="58">
        <v>46072</v>
      </c>
      <c r="B472" s="18">
        <v>0.83333333333333337</v>
      </c>
      <c r="C472" s="19">
        <v>7.5</v>
      </c>
      <c r="D472" s="19">
        <v>73.38</v>
      </c>
      <c r="E472" s="19">
        <v>3.25</v>
      </c>
      <c r="F472" s="19">
        <v>1.74</v>
      </c>
      <c r="G472" s="19">
        <v>17.3</v>
      </c>
      <c r="H472" s="19">
        <v>13.57</v>
      </c>
      <c r="I472" s="19">
        <v>34.130000000000003</v>
      </c>
      <c r="J472" s="19">
        <v>961.39</v>
      </c>
      <c r="K472" s="32">
        <v>973790.37999999989</v>
      </c>
      <c r="L472" s="1"/>
    </row>
    <row r="473" spans="1:12" x14ac:dyDescent="0.25">
      <c r="A473" s="58">
        <v>46072</v>
      </c>
      <c r="B473" s="18">
        <v>0.875</v>
      </c>
      <c r="C473" s="19">
        <v>7.3</v>
      </c>
      <c r="D473" s="19">
        <v>73.37</v>
      </c>
      <c r="E473" s="19">
        <v>3.07</v>
      </c>
      <c r="F473" s="19">
        <v>2.39</v>
      </c>
      <c r="G473" s="19">
        <v>17.3</v>
      </c>
      <c r="H473" s="19">
        <v>13.56</v>
      </c>
      <c r="I473" s="19">
        <v>33.83</v>
      </c>
      <c r="J473" s="19">
        <v>961.35</v>
      </c>
      <c r="K473" s="32">
        <v>982293.92999999993</v>
      </c>
      <c r="L473" s="1"/>
    </row>
    <row r="474" spans="1:12" x14ac:dyDescent="0.25">
      <c r="A474" s="58">
        <v>46072</v>
      </c>
      <c r="B474" s="18">
        <v>0.91666666666666663</v>
      </c>
      <c r="C474" s="19">
        <v>7.74</v>
      </c>
      <c r="D474" s="19">
        <v>73.39</v>
      </c>
      <c r="E474" s="19">
        <v>2.77</v>
      </c>
      <c r="F474" s="19">
        <v>3.66</v>
      </c>
      <c r="G474" s="19">
        <v>17.28</v>
      </c>
      <c r="H474" s="19">
        <v>13.55</v>
      </c>
      <c r="I474" s="19">
        <v>33.71</v>
      </c>
      <c r="J474" s="19">
        <v>961.22</v>
      </c>
      <c r="K474" s="32">
        <v>977045.65999999992</v>
      </c>
      <c r="L474" s="1"/>
    </row>
    <row r="475" spans="1:12" ht="15.75" thickBot="1" x14ac:dyDescent="0.3">
      <c r="A475" s="60">
        <v>46072</v>
      </c>
      <c r="B475" s="35">
        <v>0.95833333333333337</v>
      </c>
      <c r="C475" s="23">
        <v>7.16</v>
      </c>
      <c r="D475" s="23">
        <v>73.239999999999995</v>
      </c>
      <c r="E475" s="23">
        <v>1.98</v>
      </c>
      <c r="F475" s="23">
        <v>2.81</v>
      </c>
      <c r="G475" s="23">
        <v>17.239999999999998</v>
      </c>
      <c r="H475" s="23">
        <v>13.55</v>
      </c>
      <c r="I475" s="23">
        <v>33.57</v>
      </c>
      <c r="J475" s="23">
        <v>960.98</v>
      </c>
      <c r="K475" s="36">
        <v>958034.35000000009</v>
      </c>
      <c r="L475" s="1"/>
    </row>
    <row r="476" spans="1:12" ht="15.75" thickBot="1" x14ac:dyDescent="0.3">
      <c r="A476" s="26" t="s">
        <v>63</v>
      </c>
      <c r="B476" s="44"/>
      <c r="C476" s="45">
        <f t="shared" ref="C476:K476" si="18">IFERROR(ROUND(AVERAGE(C452:C475), 2), "")</f>
        <v>5.63</v>
      </c>
      <c r="D476" s="45">
        <f t="shared" si="18"/>
        <v>73.540000000000006</v>
      </c>
      <c r="E476" s="45">
        <f t="shared" si="18"/>
        <v>2.2599999999999998</v>
      </c>
      <c r="F476" s="45">
        <f t="shared" si="18"/>
        <v>2.8</v>
      </c>
      <c r="G476" s="45">
        <f t="shared" si="18"/>
        <v>17.32</v>
      </c>
      <c r="H476" s="45">
        <f t="shared" si="18"/>
        <v>13.57</v>
      </c>
      <c r="I476" s="45">
        <f t="shared" si="18"/>
        <v>33.71</v>
      </c>
      <c r="J476" s="45">
        <f t="shared" si="18"/>
        <v>960.06</v>
      </c>
      <c r="K476" s="46">
        <f t="shared" si="18"/>
        <v>977375.65</v>
      </c>
      <c r="L476" s="7"/>
    </row>
    <row r="477" spans="1:12" x14ac:dyDescent="0.25">
      <c r="A477" s="57">
        <v>46073</v>
      </c>
      <c r="B477" s="14">
        <v>0</v>
      </c>
      <c r="C477" s="15">
        <v>6.63</v>
      </c>
      <c r="D477" s="15">
        <v>69.739999999999995</v>
      </c>
      <c r="E477" s="15">
        <v>1.35</v>
      </c>
      <c r="F477" s="15">
        <v>3.62</v>
      </c>
      <c r="G477" s="15">
        <v>17.23</v>
      </c>
      <c r="H477" s="16">
        <v>13.56</v>
      </c>
      <c r="I477" s="16">
        <v>33.630000000000003</v>
      </c>
      <c r="J477" s="16">
        <v>960.76</v>
      </c>
      <c r="K477" s="17">
        <v>956212.33000000007</v>
      </c>
      <c r="L477" s="2"/>
    </row>
    <row r="478" spans="1:12" x14ac:dyDescent="0.25">
      <c r="A478" s="58">
        <v>46073</v>
      </c>
      <c r="B478" s="18">
        <v>4.1666666666666664E-2</v>
      </c>
      <c r="C478" s="19">
        <v>6.98</v>
      </c>
      <c r="D478" s="19">
        <v>72.37</v>
      </c>
      <c r="E478" s="19">
        <v>2.11</v>
      </c>
      <c r="F478" s="19">
        <v>1.19</v>
      </c>
      <c r="G478" s="19">
        <v>17.3</v>
      </c>
      <c r="H478" s="20">
        <v>13.52</v>
      </c>
      <c r="I478" s="20">
        <v>32.71</v>
      </c>
      <c r="J478" s="20">
        <v>960.57</v>
      </c>
      <c r="K478" s="21">
        <v>969569.25</v>
      </c>
      <c r="L478" s="2"/>
    </row>
    <row r="479" spans="1:12" x14ac:dyDescent="0.25">
      <c r="A479" s="58">
        <v>46073</v>
      </c>
      <c r="B479" s="18">
        <v>8.3333333333333329E-2</v>
      </c>
      <c r="C479" s="19">
        <v>7.97</v>
      </c>
      <c r="D479" s="19">
        <v>72.87</v>
      </c>
      <c r="E479" s="19">
        <v>2.56</v>
      </c>
      <c r="F479" s="19">
        <v>0.71</v>
      </c>
      <c r="G479" s="19">
        <v>17.28</v>
      </c>
      <c r="H479" s="20">
        <v>13.53</v>
      </c>
      <c r="I479" s="20">
        <v>32.74</v>
      </c>
      <c r="J479" s="20">
        <v>960.44</v>
      </c>
      <c r="K479" s="21">
        <v>974521.8899999999</v>
      </c>
      <c r="L479" s="2"/>
    </row>
    <row r="480" spans="1:12" x14ac:dyDescent="0.25">
      <c r="A480" s="58">
        <v>46073</v>
      </c>
      <c r="B480" s="18">
        <v>0.125</v>
      </c>
      <c r="C480" s="19">
        <v>7.13</v>
      </c>
      <c r="D480" s="19">
        <v>72.05</v>
      </c>
      <c r="E480" s="19">
        <v>2.0699999999999998</v>
      </c>
      <c r="F480" s="19">
        <v>0.65</v>
      </c>
      <c r="G480" s="19">
        <v>17.29</v>
      </c>
      <c r="H480" s="20">
        <v>13.53</v>
      </c>
      <c r="I480" s="20">
        <v>32.65</v>
      </c>
      <c r="J480" s="20">
        <v>960.01</v>
      </c>
      <c r="K480" s="21">
        <v>978894.8600000001</v>
      </c>
      <c r="L480" s="2"/>
    </row>
    <row r="481" spans="1:12" x14ac:dyDescent="0.25">
      <c r="A481" s="58">
        <v>46073</v>
      </c>
      <c r="B481" s="18">
        <v>0.16666666666666666</v>
      </c>
      <c r="C481" s="19">
        <v>6.94</v>
      </c>
      <c r="D481" s="19">
        <v>72.05</v>
      </c>
      <c r="E481" s="19">
        <v>1.81</v>
      </c>
      <c r="F481" s="19">
        <v>1.06</v>
      </c>
      <c r="G481" s="19">
        <v>17.28</v>
      </c>
      <c r="H481" s="20">
        <v>13.52</v>
      </c>
      <c r="I481" s="20">
        <v>32.39</v>
      </c>
      <c r="J481" s="20">
        <v>959.8</v>
      </c>
      <c r="K481" s="21">
        <v>985098.5</v>
      </c>
      <c r="L481" s="2"/>
    </row>
    <row r="482" spans="1:12" x14ac:dyDescent="0.25">
      <c r="A482" s="58">
        <v>46073</v>
      </c>
      <c r="B482" s="18">
        <v>0.20833333333333334</v>
      </c>
      <c r="C482" s="19">
        <v>7.18</v>
      </c>
      <c r="D482" s="19">
        <v>73.19</v>
      </c>
      <c r="E482" s="19">
        <v>2.25</v>
      </c>
      <c r="F482" s="19">
        <v>0.99</v>
      </c>
      <c r="G482" s="19">
        <v>17.29</v>
      </c>
      <c r="H482" s="20">
        <v>13.5</v>
      </c>
      <c r="I482" s="20">
        <v>32.03</v>
      </c>
      <c r="J482" s="20">
        <v>959.73</v>
      </c>
      <c r="K482" s="21">
        <v>988017.49</v>
      </c>
      <c r="L482" s="2"/>
    </row>
    <row r="483" spans="1:12" x14ac:dyDescent="0.25">
      <c r="A483" s="58">
        <v>46073</v>
      </c>
      <c r="B483" s="18">
        <v>0.25</v>
      </c>
      <c r="C483" s="19">
        <v>7.78</v>
      </c>
      <c r="D483" s="19">
        <v>74.09</v>
      </c>
      <c r="E483" s="19">
        <v>1.98</v>
      </c>
      <c r="F483" s="19">
        <v>1.1100000000000001</v>
      </c>
      <c r="G483" s="19">
        <v>17.3</v>
      </c>
      <c r="H483" s="20">
        <v>13.5</v>
      </c>
      <c r="I483" s="20">
        <v>31.9</v>
      </c>
      <c r="J483" s="20">
        <v>959.65</v>
      </c>
      <c r="K483" s="21">
        <v>994376.79</v>
      </c>
      <c r="L483" s="2"/>
    </row>
    <row r="484" spans="1:12" x14ac:dyDescent="0.25">
      <c r="A484" s="58">
        <v>46073</v>
      </c>
      <c r="B484" s="18">
        <v>0.29166666666666669</v>
      </c>
      <c r="C484" s="19">
        <v>7.47</v>
      </c>
      <c r="D484" s="19">
        <v>73.099999999999994</v>
      </c>
      <c r="E484" s="19">
        <v>2.4</v>
      </c>
      <c r="F484" s="19">
        <v>0.55000000000000004</v>
      </c>
      <c r="G484" s="19">
        <v>17.3</v>
      </c>
      <c r="H484" s="20">
        <v>13.5</v>
      </c>
      <c r="I484" s="20">
        <v>31.84</v>
      </c>
      <c r="J484" s="20">
        <v>959.62</v>
      </c>
      <c r="K484" s="21">
        <v>991386.01</v>
      </c>
      <c r="L484" s="2"/>
    </row>
    <row r="485" spans="1:12" x14ac:dyDescent="0.25">
      <c r="A485" s="58">
        <v>46073</v>
      </c>
      <c r="B485" s="18">
        <v>0.33333333333333331</v>
      </c>
      <c r="C485" s="19">
        <v>7.29</v>
      </c>
      <c r="D485" s="19">
        <v>73.73</v>
      </c>
      <c r="E485" s="19">
        <v>2.5</v>
      </c>
      <c r="F485" s="19">
        <v>0.63</v>
      </c>
      <c r="G485" s="19">
        <v>17.309999999999999</v>
      </c>
      <c r="H485" s="20">
        <v>13.51</v>
      </c>
      <c r="I485" s="20">
        <v>32.04</v>
      </c>
      <c r="J485" s="20">
        <v>959.47</v>
      </c>
      <c r="K485" s="21">
        <v>982640.05</v>
      </c>
      <c r="L485" s="2"/>
    </row>
    <row r="486" spans="1:12" x14ac:dyDescent="0.25">
      <c r="A486" s="58">
        <v>46073</v>
      </c>
      <c r="B486" s="18">
        <v>0.375</v>
      </c>
      <c r="C486" s="19">
        <v>6.77</v>
      </c>
      <c r="D486" s="19">
        <v>73.8</v>
      </c>
      <c r="E486" s="19">
        <v>2.16</v>
      </c>
      <c r="F486" s="19">
        <v>0.77</v>
      </c>
      <c r="G486" s="19">
        <v>17.309999999999999</v>
      </c>
      <c r="H486" s="20">
        <v>13.54</v>
      </c>
      <c r="I486" s="20">
        <v>32.630000000000003</v>
      </c>
      <c r="J486" s="20">
        <v>959.28</v>
      </c>
      <c r="K486" s="21">
        <v>990302.96</v>
      </c>
      <c r="L486" s="2"/>
    </row>
    <row r="487" spans="1:12" x14ac:dyDescent="0.25">
      <c r="A487" s="58">
        <v>46073</v>
      </c>
      <c r="B487" s="18">
        <v>0.41666666666666669</v>
      </c>
      <c r="C487" s="19">
        <v>7.18</v>
      </c>
      <c r="D487" s="19">
        <v>71.400000000000006</v>
      </c>
      <c r="E487" s="19">
        <v>2.63</v>
      </c>
      <c r="F487" s="19">
        <v>3.98</v>
      </c>
      <c r="G487" s="19">
        <v>17.29</v>
      </c>
      <c r="H487" s="20">
        <v>13.59</v>
      </c>
      <c r="I487" s="20">
        <v>33.869999999999997</v>
      </c>
      <c r="J487" s="20">
        <v>959.22</v>
      </c>
      <c r="K487" s="21">
        <v>978853.96</v>
      </c>
      <c r="L487" s="2"/>
    </row>
    <row r="488" spans="1:12" x14ac:dyDescent="0.25">
      <c r="A488" s="58">
        <v>46073</v>
      </c>
      <c r="B488" s="18">
        <v>0.45833333333333331</v>
      </c>
      <c r="C488" s="19">
        <v>6.48</v>
      </c>
      <c r="D488" s="19">
        <v>68.77</v>
      </c>
      <c r="E488" s="19">
        <v>2.36</v>
      </c>
      <c r="F488" s="19">
        <v>5.36</v>
      </c>
      <c r="G488" s="19">
        <v>17.3</v>
      </c>
      <c r="H488" s="20">
        <v>13.64</v>
      </c>
      <c r="I488" s="20">
        <v>34.979999999999997</v>
      </c>
      <c r="J488" s="20">
        <v>958.92</v>
      </c>
      <c r="K488" s="21">
        <v>968604.23</v>
      </c>
      <c r="L488" s="2"/>
    </row>
    <row r="489" spans="1:12" x14ac:dyDescent="0.25">
      <c r="A489" s="58">
        <v>46073</v>
      </c>
      <c r="B489" s="18">
        <v>0.5</v>
      </c>
      <c r="C489" s="19">
        <v>7.21</v>
      </c>
      <c r="D489" s="19">
        <v>67.900000000000006</v>
      </c>
      <c r="E489" s="19">
        <v>2.1800000000000002</v>
      </c>
      <c r="F489" s="19">
        <v>13.03</v>
      </c>
      <c r="G489" s="19">
        <v>17.29</v>
      </c>
      <c r="H489" s="20">
        <v>13.7</v>
      </c>
      <c r="I489" s="20">
        <v>36.14</v>
      </c>
      <c r="J489" s="20">
        <v>958.4</v>
      </c>
      <c r="K489" s="21">
        <v>950293.24</v>
      </c>
      <c r="L489" s="2"/>
    </row>
    <row r="490" spans="1:12" x14ac:dyDescent="0.25">
      <c r="A490" s="58">
        <v>46073</v>
      </c>
      <c r="B490" s="18">
        <v>0.54166666666666663</v>
      </c>
      <c r="C490" s="19">
        <v>7.32</v>
      </c>
      <c r="D490" s="19">
        <v>68.760000000000005</v>
      </c>
      <c r="E490" s="19">
        <v>2.5299999999999998</v>
      </c>
      <c r="F490" s="19">
        <v>11.66</v>
      </c>
      <c r="G490" s="19">
        <v>17.27</v>
      </c>
      <c r="H490" s="20">
        <v>13.75</v>
      </c>
      <c r="I490" s="20">
        <v>36.909999999999997</v>
      </c>
      <c r="J490" s="20">
        <v>957.72</v>
      </c>
      <c r="K490" s="21">
        <v>930886.19</v>
      </c>
      <c r="L490" s="2"/>
    </row>
    <row r="491" spans="1:12" x14ac:dyDescent="0.25">
      <c r="A491" s="58">
        <v>46073</v>
      </c>
      <c r="B491" s="18">
        <v>0.58333333333333337</v>
      </c>
      <c r="C491" s="19">
        <v>7.42</v>
      </c>
      <c r="D491" s="19">
        <v>68.930000000000007</v>
      </c>
      <c r="E491" s="19">
        <v>2.84</v>
      </c>
      <c r="F491" s="19">
        <v>11.39</v>
      </c>
      <c r="G491" s="19">
        <v>17.27</v>
      </c>
      <c r="H491" s="20">
        <v>13.77</v>
      </c>
      <c r="I491" s="20">
        <v>37.299999999999997</v>
      </c>
      <c r="J491" s="20">
        <v>957.11</v>
      </c>
      <c r="K491" s="21">
        <v>931180.52</v>
      </c>
      <c r="L491" s="2"/>
    </row>
    <row r="492" spans="1:12" x14ac:dyDescent="0.25">
      <c r="A492" s="58">
        <v>46073</v>
      </c>
      <c r="B492" s="18">
        <v>0.625</v>
      </c>
      <c r="C492" s="19">
        <v>7.59</v>
      </c>
      <c r="D492" s="19">
        <v>67.47</v>
      </c>
      <c r="E492" s="19">
        <v>2.44</v>
      </c>
      <c r="F492" s="19">
        <v>16.93</v>
      </c>
      <c r="G492" s="19">
        <v>17.25</v>
      </c>
      <c r="H492" s="20">
        <v>13.79</v>
      </c>
      <c r="I492" s="20">
        <v>37.49</v>
      </c>
      <c r="J492" s="20">
        <v>956.66</v>
      </c>
      <c r="K492" s="21">
        <v>923689.14999999991</v>
      </c>
      <c r="L492" s="2"/>
    </row>
    <row r="493" spans="1:12" x14ac:dyDescent="0.25">
      <c r="A493" s="58">
        <v>46073</v>
      </c>
      <c r="B493" s="18">
        <v>0.66666666666666663</v>
      </c>
      <c r="C493" s="19">
        <v>7.69</v>
      </c>
      <c r="D493" s="19">
        <v>68.13</v>
      </c>
      <c r="E493" s="19">
        <v>2.04</v>
      </c>
      <c r="F493" s="19">
        <v>18.95</v>
      </c>
      <c r="G493" s="19">
        <v>17.239999999999998</v>
      </c>
      <c r="H493" s="20">
        <v>13.78</v>
      </c>
      <c r="I493" s="20">
        <v>37.200000000000003</v>
      </c>
      <c r="J493" s="20">
        <v>956.19</v>
      </c>
      <c r="K493" s="21">
        <v>923013.47</v>
      </c>
      <c r="L493" s="2"/>
    </row>
    <row r="494" spans="1:12" x14ac:dyDescent="0.25">
      <c r="A494" s="58">
        <v>46073</v>
      </c>
      <c r="B494" s="18">
        <v>0.70833333333333337</v>
      </c>
      <c r="C494" s="19">
        <v>7</v>
      </c>
      <c r="D494" s="19">
        <v>68.209999999999994</v>
      </c>
      <c r="E494" s="19">
        <v>1.72</v>
      </c>
      <c r="F494" s="19">
        <v>15.13</v>
      </c>
      <c r="G494" s="19">
        <v>17.22</v>
      </c>
      <c r="H494" s="20">
        <v>13.77</v>
      </c>
      <c r="I494" s="20">
        <v>36.71</v>
      </c>
      <c r="J494" s="20">
        <v>955.57</v>
      </c>
      <c r="K494" s="21">
        <v>919218.14999999991</v>
      </c>
      <c r="L494" s="2"/>
    </row>
    <row r="495" spans="1:12" x14ac:dyDescent="0.25">
      <c r="A495" s="58">
        <v>46073</v>
      </c>
      <c r="B495" s="18">
        <v>0.75</v>
      </c>
      <c r="C495" s="19">
        <v>7.14</v>
      </c>
      <c r="D495" s="19">
        <v>68.63</v>
      </c>
      <c r="E495" s="19">
        <v>1.53</v>
      </c>
      <c r="F495" s="19">
        <v>13.61</v>
      </c>
      <c r="G495" s="19">
        <v>17.2</v>
      </c>
      <c r="H495" s="20">
        <v>13.75</v>
      </c>
      <c r="I495" s="20">
        <v>36.21</v>
      </c>
      <c r="J495" s="20">
        <v>955.14</v>
      </c>
      <c r="K495" s="21">
        <v>923803.12000000011</v>
      </c>
      <c r="L495" s="2"/>
    </row>
    <row r="496" spans="1:12" x14ac:dyDescent="0.25">
      <c r="A496" s="58">
        <v>46073</v>
      </c>
      <c r="B496" s="18">
        <v>0.79166666666666663</v>
      </c>
      <c r="C496" s="19">
        <v>6.18</v>
      </c>
      <c r="D496" s="19">
        <v>68.760000000000005</v>
      </c>
      <c r="E496" s="19">
        <v>1.06</v>
      </c>
      <c r="F496" s="19">
        <v>12.59</v>
      </c>
      <c r="G496" s="19">
        <v>17.190000000000001</v>
      </c>
      <c r="H496" s="20">
        <v>13.73</v>
      </c>
      <c r="I496" s="20">
        <v>35.619999999999997</v>
      </c>
      <c r="J496" s="20">
        <v>954.83</v>
      </c>
      <c r="K496" s="21">
        <v>923354.8899999999</v>
      </c>
      <c r="L496" s="2"/>
    </row>
    <row r="497" spans="1:12" x14ac:dyDescent="0.25">
      <c r="A497" s="58">
        <v>46073</v>
      </c>
      <c r="B497" s="18">
        <v>0.83333333333333337</v>
      </c>
      <c r="C497" s="19">
        <v>6.54</v>
      </c>
      <c r="D497" s="19">
        <v>68.900000000000006</v>
      </c>
      <c r="E497" s="19">
        <v>0.79</v>
      </c>
      <c r="F497" s="19">
        <v>13.36</v>
      </c>
      <c r="G497" s="19">
        <v>17.2</v>
      </c>
      <c r="H497" s="20">
        <v>13.72</v>
      </c>
      <c r="I497" s="20">
        <v>35.39</v>
      </c>
      <c r="J497" s="20">
        <v>954.64</v>
      </c>
      <c r="K497" s="21">
        <v>928566.69</v>
      </c>
      <c r="L497" s="2"/>
    </row>
    <row r="498" spans="1:12" x14ac:dyDescent="0.25">
      <c r="A498" s="58">
        <v>46073</v>
      </c>
      <c r="B498" s="18">
        <v>0.875</v>
      </c>
      <c r="C498" s="19">
        <v>5.88</v>
      </c>
      <c r="D498" s="19">
        <v>70.38</v>
      </c>
      <c r="E498" s="19">
        <v>0.74</v>
      </c>
      <c r="F498" s="19">
        <v>9.57</v>
      </c>
      <c r="G498" s="19">
        <v>17.22</v>
      </c>
      <c r="H498" s="20">
        <v>13.72</v>
      </c>
      <c r="I498" s="20">
        <v>35.25</v>
      </c>
      <c r="J498" s="20">
        <v>954.53</v>
      </c>
      <c r="K498" s="21">
        <v>919186.54</v>
      </c>
      <c r="L498" s="2"/>
    </row>
    <row r="499" spans="1:12" x14ac:dyDescent="0.25">
      <c r="A499" s="58">
        <v>46073</v>
      </c>
      <c r="B499" s="18">
        <v>0.91666666666666663</v>
      </c>
      <c r="C499" s="19">
        <v>5.49</v>
      </c>
      <c r="D499" s="19">
        <v>69.739999999999995</v>
      </c>
      <c r="E499" s="19">
        <v>0.95</v>
      </c>
      <c r="F499" s="19">
        <v>9.5399999999999991</v>
      </c>
      <c r="G499" s="19">
        <v>17.190000000000001</v>
      </c>
      <c r="H499" s="20">
        <v>13.73</v>
      </c>
      <c r="I499" s="20">
        <v>35.44</v>
      </c>
      <c r="J499" s="20">
        <v>954.44</v>
      </c>
      <c r="K499" s="21">
        <v>904480.58000000007</v>
      </c>
      <c r="L499" s="2"/>
    </row>
    <row r="500" spans="1:12" ht="15.75" thickBot="1" x14ac:dyDescent="0.3">
      <c r="A500" s="60">
        <v>46073</v>
      </c>
      <c r="B500" s="35">
        <v>0.95833333333333337</v>
      </c>
      <c r="C500" s="23">
        <v>5.81</v>
      </c>
      <c r="D500" s="23">
        <v>70.010000000000005</v>
      </c>
      <c r="E500" s="23">
        <v>1.1299999999999999</v>
      </c>
      <c r="F500" s="23">
        <v>13.56</v>
      </c>
      <c r="G500" s="23">
        <v>17.170000000000002</v>
      </c>
      <c r="H500" s="24">
        <v>13.75</v>
      </c>
      <c r="I500" s="24">
        <v>35.75</v>
      </c>
      <c r="J500" s="24">
        <v>954.15</v>
      </c>
      <c r="K500" s="25">
        <v>905125.76</v>
      </c>
      <c r="L500" s="2"/>
    </row>
    <row r="501" spans="1:12" ht="15.75" thickBot="1" x14ac:dyDescent="0.3">
      <c r="A501" s="26" t="s">
        <v>64</v>
      </c>
      <c r="B501" s="44"/>
      <c r="C501" s="45">
        <f t="shared" ref="C501:K501" si="19">IFERROR(ROUND(AVERAGE(C477:C500), 2), "")</f>
        <v>6.96</v>
      </c>
      <c r="D501" s="45">
        <f t="shared" si="19"/>
        <v>70.540000000000006</v>
      </c>
      <c r="E501" s="45">
        <f t="shared" si="19"/>
        <v>1.92</v>
      </c>
      <c r="F501" s="45">
        <f t="shared" si="19"/>
        <v>7.5</v>
      </c>
      <c r="G501" s="45">
        <f t="shared" si="19"/>
        <v>17.260000000000002</v>
      </c>
      <c r="H501" s="45">
        <f t="shared" si="19"/>
        <v>13.64</v>
      </c>
      <c r="I501" s="45">
        <f t="shared" si="19"/>
        <v>34.53</v>
      </c>
      <c r="J501" s="45">
        <f t="shared" si="19"/>
        <v>957.79</v>
      </c>
      <c r="K501" s="46">
        <f t="shared" si="19"/>
        <v>951719.86</v>
      </c>
      <c r="L501" s="7"/>
    </row>
    <row r="502" spans="1:12" x14ac:dyDescent="0.25">
      <c r="A502" s="57">
        <v>46074</v>
      </c>
      <c r="B502" s="14">
        <v>0</v>
      </c>
      <c r="C502" s="15">
        <v>5.93</v>
      </c>
      <c r="D502" s="15">
        <v>70.11</v>
      </c>
      <c r="E502" s="16">
        <v>0.9</v>
      </c>
      <c r="F502" s="15">
        <v>5.19</v>
      </c>
      <c r="G502" s="15">
        <v>17.22</v>
      </c>
      <c r="H502" s="16">
        <v>13.77</v>
      </c>
      <c r="I502" s="16">
        <v>35.950000000000003</v>
      </c>
      <c r="J502" s="16">
        <v>953.57</v>
      </c>
      <c r="K502" s="17">
        <v>907436.87000000011</v>
      </c>
      <c r="L502" s="2"/>
    </row>
    <row r="503" spans="1:12" x14ac:dyDescent="0.25">
      <c r="A503" s="58">
        <v>46074</v>
      </c>
      <c r="B503" s="18">
        <v>4.1666666666666664E-2</v>
      </c>
      <c r="C503" s="19">
        <v>5.58</v>
      </c>
      <c r="D503" s="19">
        <v>68.739999999999995</v>
      </c>
      <c r="E503" s="20">
        <v>1.1499999999999999</v>
      </c>
      <c r="F503" s="19">
        <v>7</v>
      </c>
      <c r="G503" s="19">
        <v>17.25</v>
      </c>
      <c r="H503" s="20">
        <v>13.76</v>
      </c>
      <c r="I503" s="20">
        <v>35.479999999999997</v>
      </c>
      <c r="J503" s="20">
        <v>952.58</v>
      </c>
      <c r="K503" s="21">
        <v>929160.47</v>
      </c>
      <c r="L503" s="2"/>
    </row>
    <row r="504" spans="1:12" x14ac:dyDescent="0.25">
      <c r="A504" s="58">
        <v>46074</v>
      </c>
      <c r="B504" s="18">
        <v>8.3333333333333329E-2</v>
      </c>
      <c r="C504" s="19">
        <v>6.38</v>
      </c>
      <c r="D504" s="19">
        <v>69.739999999999995</v>
      </c>
      <c r="E504" s="20">
        <v>1.1000000000000001</v>
      </c>
      <c r="F504" s="19">
        <v>5.31</v>
      </c>
      <c r="G504" s="19">
        <v>17.25</v>
      </c>
      <c r="H504" s="20">
        <v>13.75</v>
      </c>
      <c r="I504" s="20">
        <v>35.020000000000003</v>
      </c>
      <c r="J504" s="20">
        <v>951.83</v>
      </c>
      <c r="K504" s="21">
        <v>944890.64999999991</v>
      </c>
      <c r="L504" s="2"/>
    </row>
    <row r="505" spans="1:12" x14ac:dyDescent="0.25">
      <c r="A505" s="58">
        <v>46074</v>
      </c>
      <c r="B505" s="18">
        <v>0.125</v>
      </c>
      <c r="C505" s="19">
        <v>6.28</v>
      </c>
      <c r="D505" s="19">
        <v>70.069999999999993</v>
      </c>
      <c r="E505" s="20">
        <v>0.92</v>
      </c>
      <c r="F505" s="19">
        <v>5.12</v>
      </c>
      <c r="G505" s="19">
        <v>17.260000000000002</v>
      </c>
      <c r="H505" s="20">
        <v>13.75</v>
      </c>
      <c r="I505" s="20">
        <v>34.659999999999997</v>
      </c>
      <c r="J505" s="20">
        <v>950.91</v>
      </c>
      <c r="K505" s="21">
        <v>960165.15999999992</v>
      </c>
      <c r="L505" s="2"/>
    </row>
    <row r="506" spans="1:12" x14ac:dyDescent="0.25">
      <c r="A506" s="58">
        <v>46074</v>
      </c>
      <c r="B506" s="18">
        <v>0.16666666666666666</v>
      </c>
      <c r="C506" s="19">
        <v>6.81</v>
      </c>
      <c r="D506" s="19">
        <v>71.680000000000007</v>
      </c>
      <c r="E506" s="20">
        <v>1.52</v>
      </c>
      <c r="F506" s="19">
        <v>3.28</v>
      </c>
      <c r="G506" s="19">
        <v>17.3</v>
      </c>
      <c r="H506" s="20">
        <v>13.69</v>
      </c>
      <c r="I506" s="20">
        <v>33.299999999999997</v>
      </c>
      <c r="J506" s="20">
        <v>950.71</v>
      </c>
      <c r="K506" s="21">
        <v>977804.49</v>
      </c>
      <c r="L506" s="2"/>
    </row>
    <row r="507" spans="1:12" x14ac:dyDescent="0.25">
      <c r="A507" s="58">
        <v>46074</v>
      </c>
      <c r="B507" s="18">
        <v>0.20833333333333334</v>
      </c>
      <c r="C507" s="19">
        <v>6.62</v>
      </c>
      <c r="D507" s="19">
        <v>70.41</v>
      </c>
      <c r="E507" s="20">
        <v>0.85</v>
      </c>
      <c r="F507" s="19">
        <v>3.45</v>
      </c>
      <c r="G507" s="19">
        <v>17.21</v>
      </c>
      <c r="H507" s="20">
        <v>13.72</v>
      </c>
      <c r="I507" s="20">
        <v>33.549999999999997</v>
      </c>
      <c r="J507" s="20">
        <v>949.72</v>
      </c>
      <c r="K507" s="21">
        <v>952409.3899999999</v>
      </c>
      <c r="L507" s="2"/>
    </row>
    <row r="508" spans="1:12" x14ac:dyDescent="0.25">
      <c r="A508" s="58">
        <v>46074</v>
      </c>
      <c r="B508" s="18">
        <v>0.25</v>
      </c>
      <c r="C508" s="19">
        <v>6.43</v>
      </c>
      <c r="D508" s="19">
        <v>70.319999999999993</v>
      </c>
      <c r="E508" s="20">
        <v>1.04</v>
      </c>
      <c r="F508" s="19">
        <v>3.33</v>
      </c>
      <c r="G508" s="19">
        <v>17.22</v>
      </c>
      <c r="H508" s="20">
        <v>13.73</v>
      </c>
      <c r="I508" s="20">
        <v>33.57</v>
      </c>
      <c r="J508" s="20">
        <v>948.91</v>
      </c>
      <c r="K508" s="21">
        <v>954974.76</v>
      </c>
      <c r="L508" s="2"/>
    </row>
    <row r="509" spans="1:12" x14ac:dyDescent="0.25">
      <c r="A509" s="58">
        <v>46074</v>
      </c>
      <c r="B509" s="18">
        <v>0.29166666666666669</v>
      </c>
      <c r="C509" s="19">
        <v>6.9</v>
      </c>
      <c r="D509" s="19">
        <v>71.319999999999993</v>
      </c>
      <c r="E509" s="20">
        <v>1.41</v>
      </c>
      <c r="F509" s="19">
        <v>4.41</v>
      </c>
      <c r="G509" s="19">
        <v>17.260000000000002</v>
      </c>
      <c r="H509" s="20">
        <v>13.67</v>
      </c>
      <c r="I509" s="20">
        <v>32.35</v>
      </c>
      <c r="J509" s="20">
        <v>948.78</v>
      </c>
      <c r="K509" s="21">
        <v>972903.57000000007</v>
      </c>
      <c r="L509" s="2"/>
    </row>
    <row r="510" spans="1:12" x14ac:dyDescent="0.25">
      <c r="A510" s="58">
        <v>46074</v>
      </c>
      <c r="B510" s="18">
        <v>0.33333333333333331</v>
      </c>
      <c r="C510" s="19">
        <v>7.29</v>
      </c>
      <c r="D510" s="19">
        <v>71.67</v>
      </c>
      <c r="E510" s="20">
        <v>1.18</v>
      </c>
      <c r="F510" s="19">
        <v>5.73</v>
      </c>
      <c r="G510" s="19">
        <v>17.21</v>
      </c>
      <c r="H510" s="20">
        <v>13.67</v>
      </c>
      <c r="I510" s="20">
        <v>32.14</v>
      </c>
      <c r="J510" s="20">
        <v>948.71</v>
      </c>
      <c r="K510" s="21">
        <v>950629.09000000008</v>
      </c>
      <c r="L510" s="2"/>
    </row>
    <row r="511" spans="1:12" x14ac:dyDescent="0.25">
      <c r="A511" s="58">
        <v>46074</v>
      </c>
      <c r="B511" s="18">
        <v>0.375</v>
      </c>
      <c r="C511" s="19">
        <v>5.88</v>
      </c>
      <c r="D511" s="19">
        <v>70.08</v>
      </c>
      <c r="E511" s="20">
        <v>1.23</v>
      </c>
      <c r="F511" s="19">
        <v>3.61</v>
      </c>
      <c r="G511" s="19">
        <v>17.23</v>
      </c>
      <c r="H511" s="20">
        <v>13.69</v>
      </c>
      <c r="I511" s="20">
        <v>32.479999999999997</v>
      </c>
      <c r="J511" s="20">
        <v>948.09</v>
      </c>
      <c r="K511" s="21">
        <v>944927.85000000009</v>
      </c>
      <c r="L511" s="2"/>
    </row>
    <row r="512" spans="1:12" x14ac:dyDescent="0.25">
      <c r="A512" s="58">
        <v>46074</v>
      </c>
      <c r="B512" s="18">
        <v>0.41666666666666669</v>
      </c>
      <c r="C512" s="19">
        <v>6.1</v>
      </c>
      <c r="D512" s="19">
        <v>70.09</v>
      </c>
      <c r="E512" s="20">
        <v>1.18</v>
      </c>
      <c r="F512" s="19">
        <v>3.9</v>
      </c>
      <c r="G512" s="19">
        <v>17.260000000000002</v>
      </c>
      <c r="H512" s="20">
        <v>13.71</v>
      </c>
      <c r="I512" s="20">
        <v>32.869999999999997</v>
      </c>
      <c r="J512" s="20">
        <v>947.78</v>
      </c>
      <c r="K512" s="21">
        <v>964272.65999999992</v>
      </c>
      <c r="L512" s="2"/>
    </row>
    <row r="513" spans="1:12" x14ac:dyDescent="0.25">
      <c r="A513" s="58">
        <v>46074</v>
      </c>
      <c r="B513" s="18">
        <v>0.45833333333333331</v>
      </c>
      <c r="C513" s="19">
        <v>7.24</v>
      </c>
      <c r="D513" s="19">
        <v>69.22</v>
      </c>
      <c r="E513" s="20">
        <v>1.1100000000000001</v>
      </c>
      <c r="F513" s="19">
        <v>5.1100000000000003</v>
      </c>
      <c r="G513" s="19">
        <v>17.25</v>
      </c>
      <c r="H513" s="20">
        <v>13.75</v>
      </c>
      <c r="I513" s="20">
        <v>33.54</v>
      </c>
      <c r="J513" s="20">
        <v>947.28</v>
      </c>
      <c r="K513" s="21">
        <v>949963.8</v>
      </c>
      <c r="L513" s="2"/>
    </row>
    <row r="514" spans="1:12" x14ac:dyDescent="0.25">
      <c r="A514" s="58">
        <v>46074</v>
      </c>
      <c r="B514" s="18">
        <v>0.5</v>
      </c>
      <c r="C514" s="19">
        <v>6.82</v>
      </c>
      <c r="D514" s="19">
        <v>67.48</v>
      </c>
      <c r="E514" s="20">
        <v>1.1000000000000001</v>
      </c>
      <c r="F514" s="19">
        <v>14.76</v>
      </c>
      <c r="G514" s="19">
        <v>17.23</v>
      </c>
      <c r="H514" s="20">
        <v>13.81</v>
      </c>
      <c r="I514" s="20">
        <v>34.51</v>
      </c>
      <c r="J514" s="20">
        <v>946.24</v>
      </c>
      <c r="K514" s="21">
        <v>932439.73</v>
      </c>
      <c r="L514" s="2"/>
    </row>
    <row r="515" spans="1:12" x14ac:dyDescent="0.25">
      <c r="A515" s="58">
        <v>46074</v>
      </c>
      <c r="B515" s="18">
        <v>0.54166666666666663</v>
      </c>
      <c r="C515" s="19">
        <v>6.25</v>
      </c>
      <c r="D515" s="19">
        <v>65.98</v>
      </c>
      <c r="E515" s="20">
        <v>1.98</v>
      </c>
      <c r="F515" s="19">
        <v>26.54</v>
      </c>
      <c r="G515" s="19">
        <v>17.23</v>
      </c>
      <c r="H515" s="20">
        <v>13.86</v>
      </c>
      <c r="I515" s="20">
        <v>35.299999999999997</v>
      </c>
      <c r="J515" s="20">
        <v>945.36</v>
      </c>
      <c r="K515" s="21">
        <v>918378.22</v>
      </c>
      <c r="L515" s="2"/>
    </row>
    <row r="516" spans="1:12" x14ac:dyDescent="0.25">
      <c r="A516" s="58">
        <v>46074</v>
      </c>
      <c r="B516" s="18">
        <v>0.58333333333333337</v>
      </c>
      <c r="C516" s="19">
        <v>7.88</v>
      </c>
      <c r="D516" s="19">
        <v>66.45</v>
      </c>
      <c r="E516" s="20">
        <v>2.2200000000000002</v>
      </c>
      <c r="F516" s="19">
        <v>20.95</v>
      </c>
      <c r="G516" s="19">
        <v>17.22</v>
      </c>
      <c r="H516" s="20">
        <v>13.9</v>
      </c>
      <c r="I516" s="20">
        <v>36.01</v>
      </c>
      <c r="J516" s="20">
        <v>944.38</v>
      </c>
      <c r="K516" s="21">
        <v>916176.14999999991</v>
      </c>
      <c r="L516" s="2"/>
    </row>
    <row r="517" spans="1:12" x14ac:dyDescent="0.25">
      <c r="A517" s="58">
        <v>46074</v>
      </c>
      <c r="B517" s="18">
        <v>0.625</v>
      </c>
      <c r="C517" s="19">
        <v>6.55</v>
      </c>
      <c r="D517" s="19">
        <v>66.02</v>
      </c>
      <c r="E517" s="20">
        <v>1.98</v>
      </c>
      <c r="F517" s="19">
        <v>21.83</v>
      </c>
      <c r="G517" s="19">
        <v>17.23</v>
      </c>
      <c r="H517" s="20">
        <v>13.93</v>
      </c>
      <c r="I517" s="20">
        <v>36.43</v>
      </c>
      <c r="J517" s="20">
        <v>943.68</v>
      </c>
      <c r="K517" s="21">
        <v>916336.01</v>
      </c>
      <c r="L517" s="2"/>
    </row>
    <row r="518" spans="1:12" x14ac:dyDescent="0.25">
      <c r="A518" s="58">
        <v>46074</v>
      </c>
      <c r="B518" s="18">
        <v>0.66666666666666663</v>
      </c>
      <c r="C518" s="19">
        <v>7.23</v>
      </c>
      <c r="D518" s="19">
        <v>65.78</v>
      </c>
      <c r="E518" s="20">
        <v>2.3199999999999998</v>
      </c>
      <c r="F518" s="19">
        <v>28.16</v>
      </c>
      <c r="G518" s="19">
        <v>17.21</v>
      </c>
      <c r="H518" s="20">
        <v>13.95</v>
      </c>
      <c r="I518" s="20">
        <v>36.58</v>
      </c>
      <c r="J518" s="20">
        <v>942.91</v>
      </c>
      <c r="K518" s="21">
        <v>903449.6399999999</v>
      </c>
      <c r="L518" s="2"/>
    </row>
    <row r="519" spans="1:12" x14ac:dyDescent="0.25">
      <c r="A519" s="58">
        <v>46074</v>
      </c>
      <c r="B519" s="18">
        <v>0.70833333333333337</v>
      </c>
      <c r="C519" s="19">
        <v>6.32</v>
      </c>
      <c r="D519" s="19">
        <v>64.63</v>
      </c>
      <c r="E519" s="20">
        <v>2.0299999999999998</v>
      </c>
      <c r="F519" s="19">
        <v>30.17</v>
      </c>
      <c r="G519" s="19">
        <v>17.190000000000001</v>
      </c>
      <c r="H519" s="20">
        <v>13.96</v>
      </c>
      <c r="I519" s="20">
        <v>36.56</v>
      </c>
      <c r="J519" s="20">
        <v>942.14</v>
      </c>
      <c r="K519" s="21">
        <v>912794.35000000009</v>
      </c>
      <c r="L519" s="2"/>
    </row>
    <row r="520" spans="1:12" x14ac:dyDescent="0.25">
      <c r="A520" s="58">
        <v>46074</v>
      </c>
      <c r="B520" s="18">
        <v>0.75</v>
      </c>
      <c r="C520" s="19">
        <v>7.41</v>
      </c>
      <c r="D520" s="19">
        <v>65.069999999999993</v>
      </c>
      <c r="E520" s="20">
        <v>2.4900000000000002</v>
      </c>
      <c r="F520" s="19">
        <v>27.72</v>
      </c>
      <c r="G520" s="19">
        <v>17.190000000000001</v>
      </c>
      <c r="H520" s="20">
        <v>13.97</v>
      </c>
      <c r="I520" s="20">
        <v>36.57</v>
      </c>
      <c r="J520" s="20">
        <v>941.51</v>
      </c>
      <c r="K520" s="21">
        <v>918871.79</v>
      </c>
      <c r="L520" s="2"/>
    </row>
    <row r="521" spans="1:12" x14ac:dyDescent="0.25">
      <c r="A521" s="58">
        <v>46074</v>
      </c>
      <c r="B521" s="18">
        <v>0.79166666666666663</v>
      </c>
      <c r="C521" s="19">
        <v>6.35</v>
      </c>
      <c r="D521" s="19">
        <v>64.89</v>
      </c>
      <c r="E521" s="20">
        <v>2.69</v>
      </c>
      <c r="F521" s="19">
        <v>31.45</v>
      </c>
      <c r="G521" s="19">
        <v>17.18</v>
      </c>
      <c r="H521" s="20">
        <v>13.99</v>
      </c>
      <c r="I521" s="20">
        <v>36.78</v>
      </c>
      <c r="J521" s="20">
        <v>940.84</v>
      </c>
      <c r="K521" s="21">
        <v>918777.34000000008</v>
      </c>
      <c r="L521" s="2"/>
    </row>
    <row r="522" spans="1:12" x14ac:dyDescent="0.25">
      <c r="A522" s="58">
        <v>46074</v>
      </c>
      <c r="B522" s="18">
        <v>0.83333333333333337</v>
      </c>
      <c r="C522" s="19">
        <v>6.4</v>
      </c>
      <c r="D522" s="19">
        <v>64.98</v>
      </c>
      <c r="E522" s="20">
        <v>3</v>
      </c>
      <c r="F522" s="19">
        <v>31.89</v>
      </c>
      <c r="G522" s="19">
        <v>17.190000000000001</v>
      </c>
      <c r="H522" s="20">
        <v>14.01</v>
      </c>
      <c r="I522" s="20">
        <v>36.869999999999997</v>
      </c>
      <c r="J522" s="20">
        <v>939.95</v>
      </c>
      <c r="K522" s="21">
        <v>923814.25</v>
      </c>
      <c r="L522" s="2"/>
    </row>
    <row r="523" spans="1:12" x14ac:dyDescent="0.25">
      <c r="A523" s="58">
        <v>46074</v>
      </c>
      <c r="B523" s="18">
        <v>0.875</v>
      </c>
      <c r="C523" s="19">
        <v>6.43</v>
      </c>
      <c r="D523" s="19">
        <v>66.47</v>
      </c>
      <c r="E523" s="20">
        <v>3</v>
      </c>
      <c r="F523" s="19">
        <v>23.32</v>
      </c>
      <c r="G523" s="19">
        <v>17.2</v>
      </c>
      <c r="H523" s="20">
        <v>14.03</v>
      </c>
      <c r="I523" s="20">
        <v>37.11</v>
      </c>
      <c r="J523" s="20">
        <v>939.32</v>
      </c>
      <c r="K523" s="21">
        <v>909369.22</v>
      </c>
      <c r="L523" s="2"/>
    </row>
    <row r="524" spans="1:12" x14ac:dyDescent="0.25">
      <c r="A524" s="58">
        <v>46074</v>
      </c>
      <c r="B524" s="18">
        <v>0.91666666666666663</v>
      </c>
      <c r="C524" s="19">
        <v>7.1</v>
      </c>
      <c r="D524" s="19">
        <v>68.2</v>
      </c>
      <c r="E524" s="20">
        <v>2.4</v>
      </c>
      <c r="F524" s="19">
        <v>12.41</v>
      </c>
      <c r="G524" s="19">
        <v>17.190000000000001</v>
      </c>
      <c r="H524" s="20">
        <v>14.05</v>
      </c>
      <c r="I524" s="20">
        <v>37.49</v>
      </c>
      <c r="J524" s="20">
        <v>938.58</v>
      </c>
      <c r="K524" s="21">
        <v>925442.41999999993</v>
      </c>
      <c r="L524" s="2"/>
    </row>
    <row r="525" spans="1:12" ht="15.75" thickBot="1" x14ac:dyDescent="0.3">
      <c r="A525" s="60">
        <v>46074</v>
      </c>
      <c r="B525" s="35">
        <v>0.95833333333333337</v>
      </c>
      <c r="C525" s="23">
        <v>7.14</v>
      </c>
      <c r="D525" s="23">
        <v>68.27</v>
      </c>
      <c r="E525" s="24">
        <v>2.92</v>
      </c>
      <c r="F525" s="23">
        <v>10.85</v>
      </c>
      <c r="G525" s="23">
        <v>17.21</v>
      </c>
      <c r="H525" s="24">
        <v>14.07</v>
      </c>
      <c r="I525" s="24">
        <v>37.61</v>
      </c>
      <c r="J525" s="24">
        <v>937.94</v>
      </c>
      <c r="K525" s="25">
        <v>920823.15999999992</v>
      </c>
      <c r="L525" s="2"/>
    </row>
    <row r="526" spans="1:12" ht="15.75" thickBot="1" x14ac:dyDescent="0.3">
      <c r="A526" s="26" t="s">
        <v>65</v>
      </c>
      <c r="B526" s="44"/>
      <c r="C526" s="45">
        <f t="shared" ref="C526:K526" si="20">IFERROR(ROUND(AVERAGE(C502:C525), 2), "")</f>
        <v>6.64</v>
      </c>
      <c r="D526" s="45">
        <f t="shared" si="20"/>
        <v>68.239999999999995</v>
      </c>
      <c r="E526" s="45">
        <f t="shared" si="20"/>
        <v>1.74</v>
      </c>
      <c r="F526" s="45">
        <f t="shared" si="20"/>
        <v>13.98</v>
      </c>
      <c r="G526" s="45">
        <f t="shared" si="20"/>
        <v>17.22</v>
      </c>
      <c r="H526" s="45">
        <f t="shared" si="20"/>
        <v>13.84</v>
      </c>
      <c r="I526" s="45">
        <f t="shared" si="20"/>
        <v>35.11</v>
      </c>
      <c r="J526" s="45">
        <f t="shared" si="20"/>
        <v>945.91</v>
      </c>
      <c r="K526" s="46">
        <f t="shared" si="20"/>
        <v>934425.46</v>
      </c>
      <c r="L526" s="7"/>
    </row>
    <row r="527" spans="1:12" x14ac:dyDescent="0.25">
      <c r="A527" s="57">
        <v>46075</v>
      </c>
      <c r="B527" s="14">
        <v>0</v>
      </c>
      <c r="C527" s="15">
        <v>6.47</v>
      </c>
      <c r="D527" s="15">
        <v>67.930000000000007</v>
      </c>
      <c r="E527" s="15">
        <v>2.87</v>
      </c>
      <c r="F527" s="15">
        <v>11.92</v>
      </c>
      <c r="G527" s="15">
        <v>17.21</v>
      </c>
      <c r="H527" s="16">
        <v>14.09</v>
      </c>
      <c r="I527" s="16">
        <v>37.659999999999997</v>
      </c>
      <c r="J527" s="16">
        <v>937.11</v>
      </c>
      <c r="K527" s="17">
        <v>922578.8</v>
      </c>
      <c r="L527" s="2"/>
    </row>
    <row r="528" spans="1:12" x14ac:dyDescent="0.25">
      <c r="A528" s="58">
        <v>46075</v>
      </c>
      <c r="B528" s="18">
        <v>4.1666666666666664E-2</v>
      </c>
      <c r="C528" s="19">
        <v>6.41</v>
      </c>
      <c r="D528" s="19">
        <v>67.83</v>
      </c>
      <c r="E528" s="19">
        <v>2.64</v>
      </c>
      <c r="F528" s="19">
        <v>13.72</v>
      </c>
      <c r="G528" s="19">
        <v>17.2</v>
      </c>
      <c r="H528" s="20">
        <v>14.11</v>
      </c>
      <c r="I528" s="20">
        <v>37.89</v>
      </c>
      <c r="J528" s="20">
        <v>936.32</v>
      </c>
      <c r="K528" s="21">
        <v>924388.69</v>
      </c>
      <c r="L528" s="2"/>
    </row>
    <row r="529" spans="1:12" x14ac:dyDescent="0.25">
      <c r="A529" s="58">
        <v>46075</v>
      </c>
      <c r="B529" s="18">
        <v>8.3333333333333329E-2</v>
      </c>
      <c r="C529" s="19">
        <v>6.14</v>
      </c>
      <c r="D529" s="19">
        <v>67.900000000000006</v>
      </c>
      <c r="E529" s="19">
        <v>2.4900000000000002</v>
      </c>
      <c r="F529" s="19">
        <v>14.86</v>
      </c>
      <c r="G529" s="19">
        <v>17.2</v>
      </c>
      <c r="H529" s="20">
        <v>14.13</v>
      </c>
      <c r="I529" s="20">
        <v>38.090000000000003</v>
      </c>
      <c r="J529" s="20">
        <v>935.51</v>
      </c>
      <c r="K529" s="21">
        <v>916942.12000000011</v>
      </c>
      <c r="L529" s="2"/>
    </row>
    <row r="530" spans="1:12" x14ac:dyDescent="0.25">
      <c r="A530" s="58">
        <v>46075</v>
      </c>
      <c r="B530" s="18">
        <v>0.125</v>
      </c>
      <c r="C530" s="19">
        <v>5.85</v>
      </c>
      <c r="D530" s="19">
        <v>67.319999999999993</v>
      </c>
      <c r="E530" s="19">
        <v>2.59</v>
      </c>
      <c r="F530" s="19">
        <v>15.28</v>
      </c>
      <c r="G530" s="19">
        <v>17.23</v>
      </c>
      <c r="H530" s="20">
        <v>14.15</v>
      </c>
      <c r="I530" s="20">
        <v>38.229999999999997</v>
      </c>
      <c r="J530" s="20">
        <v>934.66</v>
      </c>
      <c r="K530" s="21">
        <v>917549.46</v>
      </c>
      <c r="L530" s="2"/>
    </row>
    <row r="531" spans="1:12" x14ac:dyDescent="0.25">
      <c r="A531" s="58">
        <v>46075</v>
      </c>
      <c r="B531" s="18">
        <v>0.16666666666666666</v>
      </c>
      <c r="C531" s="19">
        <v>6.69</v>
      </c>
      <c r="D531" s="19">
        <v>67.63</v>
      </c>
      <c r="E531" s="19">
        <v>2.65</v>
      </c>
      <c r="F531" s="19">
        <v>15.87</v>
      </c>
      <c r="G531" s="19">
        <v>17.2</v>
      </c>
      <c r="H531" s="20">
        <v>14.17</v>
      </c>
      <c r="I531" s="20">
        <v>38.26</v>
      </c>
      <c r="J531" s="20">
        <v>933.81</v>
      </c>
      <c r="K531" s="21">
        <v>922432.03</v>
      </c>
      <c r="L531" s="2"/>
    </row>
    <row r="532" spans="1:12" x14ac:dyDescent="0.25">
      <c r="A532" s="58">
        <v>46075</v>
      </c>
      <c r="B532" s="18">
        <v>0.20833333333333334</v>
      </c>
      <c r="C532" s="19">
        <v>6.65</v>
      </c>
      <c r="D532" s="19">
        <v>67.900000000000006</v>
      </c>
      <c r="E532" s="19">
        <v>2</v>
      </c>
      <c r="F532" s="19">
        <v>17.989999999999998</v>
      </c>
      <c r="G532" s="19">
        <v>17.21</v>
      </c>
      <c r="H532" s="20">
        <v>14.18</v>
      </c>
      <c r="I532" s="20">
        <v>38.299999999999997</v>
      </c>
      <c r="J532" s="20">
        <v>933.19</v>
      </c>
      <c r="K532" s="21">
        <v>912747.59000000008</v>
      </c>
      <c r="L532" s="2"/>
    </row>
    <row r="533" spans="1:12" x14ac:dyDescent="0.25">
      <c r="A533" s="58">
        <v>46075</v>
      </c>
      <c r="B533" s="18">
        <v>0.25</v>
      </c>
      <c r="C533" s="19">
        <v>6.03</v>
      </c>
      <c r="D533" s="19">
        <v>66.599999999999994</v>
      </c>
      <c r="E533" s="19">
        <v>2.36</v>
      </c>
      <c r="F533" s="19">
        <v>17.18</v>
      </c>
      <c r="G533" s="19">
        <v>17.2</v>
      </c>
      <c r="H533" s="20">
        <v>14.18</v>
      </c>
      <c r="I533" s="20">
        <v>38.21</v>
      </c>
      <c r="J533" s="20">
        <v>932.69</v>
      </c>
      <c r="K533" s="21">
        <v>908160.14999999991</v>
      </c>
      <c r="L533" s="2"/>
    </row>
    <row r="534" spans="1:12" x14ac:dyDescent="0.25">
      <c r="A534" s="58">
        <v>46075</v>
      </c>
      <c r="B534" s="18">
        <v>0.29166666666666669</v>
      </c>
      <c r="C534" s="19">
        <v>6.68</v>
      </c>
      <c r="D534" s="19">
        <v>67.069999999999993</v>
      </c>
      <c r="E534" s="19">
        <v>1.7</v>
      </c>
      <c r="F534" s="19">
        <v>18.96</v>
      </c>
      <c r="G534" s="19">
        <v>17.2</v>
      </c>
      <c r="H534" s="20">
        <v>14.2</v>
      </c>
      <c r="I534" s="20">
        <v>38.35</v>
      </c>
      <c r="J534" s="20">
        <v>932.21</v>
      </c>
      <c r="K534" s="21">
        <v>917621.54</v>
      </c>
      <c r="L534" s="2"/>
    </row>
    <row r="535" spans="1:12" x14ac:dyDescent="0.25">
      <c r="A535" s="58">
        <v>46075</v>
      </c>
      <c r="B535" s="18">
        <v>0.33333333333333331</v>
      </c>
      <c r="C535" s="19">
        <v>6.12</v>
      </c>
      <c r="D535" s="19">
        <v>67.48</v>
      </c>
      <c r="E535" s="19">
        <v>2.35</v>
      </c>
      <c r="F535" s="19">
        <v>19.510000000000002</v>
      </c>
      <c r="G535" s="19">
        <v>17.21</v>
      </c>
      <c r="H535" s="20">
        <v>14.21</v>
      </c>
      <c r="I535" s="20">
        <v>38.450000000000003</v>
      </c>
      <c r="J535" s="20">
        <v>931.9</v>
      </c>
      <c r="K535" s="21">
        <v>915122.6399999999</v>
      </c>
      <c r="L535" s="2"/>
    </row>
    <row r="536" spans="1:12" x14ac:dyDescent="0.25">
      <c r="A536" s="58">
        <v>46075</v>
      </c>
      <c r="B536" s="18">
        <v>0.375</v>
      </c>
      <c r="C536" s="19">
        <v>7.36</v>
      </c>
      <c r="D536" s="19">
        <v>68.05</v>
      </c>
      <c r="E536" s="19">
        <v>1.93</v>
      </c>
      <c r="F536" s="19">
        <v>19.71</v>
      </c>
      <c r="G536" s="19">
        <v>17.21</v>
      </c>
      <c r="H536" s="20">
        <v>14.22</v>
      </c>
      <c r="I536" s="20">
        <v>38.74</v>
      </c>
      <c r="J536" s="20">
        <v>931.39</v>
      </c>
      <c r="K536" s="21">
        <v>912640.83000000007</v>
      </c>
      <c r="L536" s="2"/>
    </row>
    <row r="537" spans="1:12" x14ac:dyDescent="0.25">
      <c r="A537" s="58">
        <v>46075</v>
      </c>
      <c r="B537" s="18">
        <v>0.41666666666666669</v>
      </c>
      <c r="C537" s="19">
        <v>5.98</v>
      </c>
      <c r="D537" s="19">
        <v>75.010000000000005</v>
      </c>
      <c r="E537" s="19">
        <v>1.61</v>
      </c>
      <c r="F537" s="19">
        <v>2.48</v>
      </c>
      <c r="G537" s="19">
        <v>17.46</v>
      </c>
      <c r="H537" s="20">
        <v>14.19</v>
      </c>
      <c r="I537" s="20">
        <v>37.79</v>
      </c>
      <c r="J537" s="20">
        <v>930.98</v>
      </c>
      <c r="K537" s="21">
        <v>862690.41999999993</v>
      </c>
      <c r="L537" s="2"/>
    </row>
    <row r="538" spans="1:12" x14ac:dyDescent="0.25">
      <c r="A538" s="58">
        <v>46075</v>
      </c>
      <c r="B538" s="18">
        <v>0.45833333333333331</v>
      </c>
      <c r="C538" s="19">
        <v>6.77</v>
      </c>
      <c r="D538" s="19">
        <v>76.73</v>
      </c>
      <c r="E538" s="19">
        <v>2.0699999999999998</v>
      </c>
      <c r="F538" s="19">
        <v>0.15</v>
      </c>
      <c r="G538" s="19">
        <v>17.420000000000002</v>
      </c>
      <c r="H538" s="20">
        <v>14.21</v>
      </c>
      <c r="I538" s="20">
        <v>38.03</v>
      </c>
      <c r="J538" s="20">
        <v>930.44</v>
      </c>
      <c r="K538" s="21">
        <v>876743.6399999999</v>
      </c>
      <c r="L538" s="2"/>
    </row>
    <row r="539" spans="1:12" x14ac:dyDescent="0.25">
      <c r="A539" s="58">
        <v>46075</v>
      </c>
      <c r="B539" s="18">
        <v>0.5</v>
      </c>
      <c r="C539" s="19">
        <v>5.94</v>
      </c>
      <c r="D539" s="19">
        <v>76.2</v>
      </c>
      <c r="E539" s="19">
        <v>2.44</v>
      </c>
      <c r="F539" s="19">
        <v>0.17</v>
      </c>
      <c r="G539" s="19">
        <v>17.41</v>
      </c>
      <c r="H539" s="20">
        <v>14.22</v>
      </c>
      <c r="I539" s="20">
        <v>38.08</v>
      </c>
      <c r="J539" s="20">
        <v>929.97</v>
      </c>
      <c r="K539" s="21">
        <v>883382.27</v>
      </c>
      <c r="L539" s="2"/>
    </row>
    <row r="540" spans="1:12" x14ac:dyDescent="0.25">
      <c r="A540" s="58">
        <v>46075</v>
      </c>
      <c r="B540" s="18">
        <v>0.54166666666666663</v>
      </c>
      <c r="C540" s="19">
        <v>7.8</v>
      </c>
      <c r="D540" s="19">
        <v>74.73</v>
      </c>
      <c r="E540" s="19">
        <v>2.33</v>
      </c>
      <c r="F540" s="19">
        <v>0.14000000000000001</v>
      </c>
      <c r="G540" s="19">
        <v>17.399999999999999</v>
      </c>
      <c r="H540" s="20">
        <v>14.22</v>
      </c>
      <c r="I540" s="20">
        <v>37.9</v>
      </c>
      <c r="J540" s="20">
        <v>929.51</v>
      </c>
      <c r="K540" s="21">
        <v>872301.12000000011</v>
      </c>
      <c r="L540" s="2"/>
    </row>
    <row r="541" spans="1:12" x14ac:dyDescent="0.25">
      <c r="A541" s="58">
        <v>46075</v>
      </c>
      <c r="B541" s="18">
        <v>0.58333333333333337</v>
      </c>
      <c r="C541" s="19">
        <v>7</v>
      </c>
      <c r="D541" s="19">
        <v>74.17</v>
      </c>
      <c r="E541" s="19">
        <v>2.19</v>
      </c>
      <c r="F541" s="19">
        <v>0.22</v>
      </c>
      <c r="G541" s="19">
        <v>17.41</v>
      </c>
      <c r="H541" s="20">
        <v>14.22</v>
      </c>
      <c r="I541" s="20">
        <v>37.81</v>
      </c>
      <c r="J541" s="20">
        <v>929.3</v>
      </c>
      <c r="K541" s="21">
        <v>860458.47</v>
      </c>
      <c r="L541" s="2"/>
    </row>
    <row r="542" spans="1:12" x14ac:dyDescent="0.25">
      <c r="A542" s="58">
        <v>46075</v>
      </c>
      <c r="B542" s="18">
        <v>0.625</v>
      </c>
      <c r="C542" s="19">
        <v>7.21</v>
      </c>
      <c r="D542" s="19">
        <v>74.38</v>
      </c>
      <c r="E542" s="19">
        <v>2.54</v>
      </c>
      <c r="F542" s="19">
        <v>0.26</v>
      </c>
      <c r="G542" s="19">
        <v>17.399999999999999</v>
      </c>
      <c r="H542" s="20">
        <v>14.22</v>
      </c>
      <c r="I542" s="20">
        <v>37.9</v>
      </c>
      <c r="J542" s="20">
        <v>929.28</v>
      </c>
      <c r="K542" s="21">
        <v>850730.21</v>
      </c>
      <c r="L542" s="2"/>
    </row>
    <row r="543" spans="1:12" x14ac:dyDescent="0.25">
      <c r="A543" s="58">
        <v>46075</v>
      </c>
      <c r="B543" s="18">
        <v>0.66666666666666663</v>
      </c>
      <c r="C543" s="19">
        <v>7.22</v>
      </c>
      <c r="D543" s="19">
        <v>75.319999999999993</v>
      </c>
      <c r="E543" s="19">
        <v>2.4500000000000002</v>
      </c>
      <c r="F543" s="19">
        <v>0.56000000000000005</v>
      </c>
      <c r="G543" s="19">
        <v>17.420000000000002</v>
      </c>
      <c r="H543" s="20">
        <v>14.23</v>
      </c>
      <c r="I543" s="20">
        <v>38.03</v>
      </c>
      <c r="J543" s="20">
        <v>929.06</v>
      </c>
      <c r="K543" s="21">
        <v>855321.58000000007</v>
      </c>
      <c r="L543" s="2"/>
    </row>
    <row r="544" spans="1:12" x14ac:dyDescent="0.25">
      <c r="A544" s="58">
        <v>46075</v>
      </c>
      <c r="B544" s="18">
        <v>0.70833333333333337</v>
      </c>
      <c r="C544" s="19">
        <v>6.43</v>
      </c>
      <c r="D544" s="19">
        <v>75.010000000000005</v>
      </c>
      <c r="E544" s="19">
        <v>2.21</v>
      </c>
      <c r="F544" s="19">
        <v>0.42</v>
      </c>
      <c r="G544" s="19">
        <v>17.420000000000002</v>
      </c>
      <c r="H544" s="20">
        <v>14.23</v>
      </c>
      <c r="I544" s="20">
        <v>38.08</v>
      </c>
      <c r="J544" s="20">
        <v>929.06</v>
      </c>
      <c r="K544" s="21">
        <v>851684.21</v>
      </c>
      <c r="L544" s="2"/>
    </row>
    <row r="545" spans="1:12" x14ac:dyDescent="0.25">
      <c r="A545" s="58">
        <v>46075</v>
      </c>
      <c r="B545" s="18">
        <v>0.75</v>
      </c>
      <c r="C545" s="19">
        <v>7.75</v>
      </c>
      <c r="D545" s="19">
        <v>75.540000000000006</v>
      </c>
      <c r="E545" s="19">
        <v>1.95</v>
      </c>
      <c r="F545" s="19">
        <v>0.75</v>
      </c>
      <c r="G545" s="19">
        <v>17.399999999999999</v>
      </c>
      <c r="H545" s="20">
        <v>14.22</v>
      </c>
      <c r="I545" s="20">
        <v>37.909999999999997</v>
      </c>
      <c r="J545" s="20">
        <v>929.26</v>
      </c>
      <c r="K545" s="21">
        <v>844484.17999999993</v>
      </c>
      <c r="L545" s="2"/>
    </row>
    <row r="546" spans="1:12" x14ac:dyDescent="0.25">
      <c r="A546" s="58">
        <v>46075</v>
      </c>
      <c r="B546" s="18">
        <v>0.79166666666666663</v>
      </c>
      <c r="C546" s="19">
        <v>5.5</v>
      </c>
      <c r="D546" s="19">
        <v>74.69</v>
      </c>
      <c r="E546" s="19">
        <v>1.57</v>
      </c>
      <c r="F546" s="19">
        <v>0.65</v>
      </c>
      <c r="G546" s="19">
        <v>17.420000000000002</v>
      </c>
      <c r="H546" s="20">
        <v>14.2</v>
      </c>
      <c r="I546" s="20">
        <v>37.49</v>
      </c>
      <c r="J546" s="20">
        <v>929.41</v>
      </c>
      <c r="K546" s="21">
        <v>861661.07000000007</v>
      </c>
      <c r="L546" s="2"/>
    </row>
    <row r="547" spans="1:12" x14ac:dyDescent="0.25">
      <c r="A547" s="58">
        <v>46075</v>
      </c>
      <c r="B547" s="18">
        <v>0.83333333333333337</v>
      </c>
      <c r="C547" s="19">
        <v>4.34</v>
      </c>
      <c r="D547" s="19">
        <v>74.73</v>
      </c>
      <c r="E547" s="19">
        <v>1.82</v>
      </c>
      <c r="F547" s="19">
        <v>0.79</v>
      </c>
      <c r="G547" s="19">
        <v>17.45</v>
      </c>
      <c r="H547" s="20">
        <v>14.18</v>
      </c>
      <c r="I547" s="20">
        <v>37.01</v>
      </c>
      <c r="J547" s="20">
        <v>929.28</v>
      </c>
      <c r="K547" s="21">
        <v>874724.05</v>
      </c>
      <c r="L547" s="2"/>
    </row>
    <row r="548" spans="1:12" x14ac:dyDescent="0.25">
      <c r="A548" s="58">
        <v>46075</v>
      </c>
      <c r="B548" s="18">
        <v>0.875</v>
      </c>
      <c r="C548" s="19">
        <v>4.04</v>
      </c>
      <c r="D548" s="19">
        <v>74.2</v>
      </c>
      <c r="E548" s="19">
        <v>2.35</v>
      </c>
      <c r="F548" s="19">
        <v>0.81</v>
      </c>
      <c r="G548" s="19">
        <v>17.420000000000002</v>
      </c>
      <c r="H548" s="20">
        <v>14.19</v>
      </c>
      <c r="I548" s="20">
        <v>37.119999999999997</v>
      </c>
      <c r="J548" s="20">
        <v>929.11</v>
      </c>
      <c r="K548" s="21">
        <v>869097.21</v>
      </c>
      <c r="L548" s="2"/>
    </row>
    <row r="549" spans="1:12" x14ac:dyDescent="0.25">
      <c r="A549" s="58">
        <v>46075</v>
      </c>
      <c r="B549" s="18">
        <v>0.91666666666666663</v>
      </c>
      <c r="C549" s="19">
        <v>4.0999999999999996</v>
      </c>
      <c r="D549" s="19">
        <v>73.66</v>
      </c>
      <c r="E549" s="19">
        <v>2.58</v>
      </c>
      <c r="F549" s="19">
        <v>0.67</v>
      </c>
      <c r="G549" s="19">
        <v>17.46</v>
      </c>
      <c r="H549" s="20">
        <v>14.18</v>
      </c>
      <c r="I549" s="20">
        <v>36.950000000000003</v>
      </c>
      <c r="J549" s="20">
        <v>929.29</v>
      </c>
      <c r="K549" s="21">
        <v>870549.29</v>
      </c>
      <c r="L549" s="2"/>
    </row>
    <row r="550" spans="1:12" ht="15.75" thickBot="1" x14ac:dyDescent="0.3">
      <c r="A550" s="60">
        <v>46075</v>
      </c>
      <c r="B550" s="35">
        <v>0.95833333333333337</v>
      </c>
      <c r="C550" s="23">
        <v>5.42</v>
      </c>
      <c r="D550" s="23">
        <v>74.67</v>
      </c>
      <c r="E550" s="23">
        <v>2.1800000000000002</v>
      </c>
      <c r="F550" s="23">
        <v>0.55000000000000004</v>
      </c>
      <c r="G550" s="23">
        <v>17.47</v>
      </c>
      <c r="H550" s="24">
        <v>14.17</v>
      </c>
      <c r="I550" s="24">
        <v>36.840000000000003</v>
      </c>
      <c r="J550" s="24">
        <v>929.31</v>
      </c>
      <c r="K550" s="25">
        <v>881549.78</v>
      </c>
      <c r="L550" s="2"/>
    </row>
    <row r="551" spans="1:12" ht="15.75" thickBot="1" x14ac:dyDescent="0.3">
      <c r="A551" s="26" t="s">
        <v>66</v>
      </c>
      <c r="B551" s="44"/>
      <c r="C551" s="45">
        <f t="shared" ref="C551:K551" si="21">IFERROR(ROUND(AVERAGE(C527:C550), 2), "")</f>
        <v>6.25</v>
      </c>
      <c r="D551" s="45">
        <f t="shared" si="21"/>
        <v>71.86</v>
      </c>
      <c r="E551" s="45">
        <f t="shared" si="21"/>
        <v>2.2400000000000002</v>
      </c>
      <c r="F551" s="45">
        <f t="shared" si="21"/>
        <v>7.23</v>
      </c>
      <c r="G551" s="45">
        <f t="shared" si="21"/>
        <v>17.329999999999998</v>
      </c>
      <c r="H551" s="45">
        <f t="shared" si="21"/>
        <v>14.19</v>
      </c>
      <c r="I551" s="45">
        <f t="shared" si="21"/>
        <v>37.880000000000003</v>
      </c>
      <c r="J551" s="45">
        <f t="shared" si="21"/>
        <v>931.34</v>
      </c>
      <c r="K551" s="46">
        <f t="shared" si="21"/>
        <v>886898.39</v>
      </c>
      <c r="L551" s="7"/>
    </row>
    <row r="552" spans="1:12" x14ac:dyDescent="0.25">
      <c r="A552" s="57">
        <v>46076</v>
      </c>
      <c r="B552" s="14">
        <v>0</v>
      </c>
      <c r="C552" s="15">
        <v>5.18</v>
      </c>
      <c r="D552" s="15">
        <v>74.97</v>
      </c>
      <c r="E552" s="15">
        <v>2.06</v>
      </c>
      <c r="F552" s="15">
        <v>0.92</v>
      </c>
      <c r="G552" s="15">
        <v>17.47</v>
      </c>
      <c r="H552" s="16">
        <v>14.17</v>
      </c>
      <c r="I552" s="16">
        <v>36.799999999999997</v>
      </c>
      <c r="J552" s="16">
        <v>929.3</v>
      </c>
      <c r="K552" s="17">
        <v>879131.7</v>
      </c>
      <c r="L552" s="2"/>
    </row>
    <row r="553" spans="1:12" x14ac:dyDescent="0.25">
      <c r="A553" s="58">
        <v>46076</v>
      </c>
      <c r="B553" s="18">
        <v>4.1666666666666664E-2</v>
      </c>
      <c r="C553" s="19">
        <v>4.7</v>
      </c>
      <c r="D553" s="19">
        <v>74.84</v>
      </c>
      <c r="E553" s="19">
        <v>2.27</v>
      </c>
      <c r="F553" s="19">
        <v>0.57999999999999996</v>
      </c>
      <c r="G553" s="19">
        <v>17.45</v>
      </c>
      <c r="H553" s="20">
        <v>14.16</v>
      </c>
      <c r="I553" s="20">
        <v>36.71</v>
      </c>
      <c r="J553" s="20">
        <v>929.33</v>
      </c>
      <c r="K553" s="21">
        <v>875145.42999999993</v>
      </c>
      <c r="L553" s="2"/>
    </row>
    <row r="554" spans="1:12" x14ac:dyDescent="0.25">
      <c r="A554" s="58">
        <v>46076</v>
      </c>
      <c r="B554" s="18">
        <v>8.3333333333333329E-2</v>
      </c>
      <c r="C554" s="19">
        <v>3.89</v>
      </c>
      <c r="D554" s="19">
        <v>74.23</v>
      </c>
      <c r="E554" s="19">
        <v>1.87</v>
      </c>
      <c r="F554" s="19">
        <v>0.7</v>
      </c>
      <c r="G554" s="19">
        <v>17.489999999999998</v>
      </c>
      <c r="H554" s="20">
        <v>14.16</v>
      </c>
      <c r="I554" s="20">
        <v>36.700000000000003</v>
      </c>
      <c r="J554" s="20">
        <v>929.44</v>
      </c>
      <c r="K554" s="21">
        <v>889011.19</v>
      </c>
      <c r="L554" s="2"/>
    </row>
    <row r="555" spans="1:12" x14ac:dyDescent="0.25">
      <c r="A555" s="58">
        <v>46076</v>
      </c>
      <c r="B555" s="18">
        <v>0.125</v>
      </c>
      <c r="C555" s="19">
        <v>4.53</v>
      </c>
      <c r="D555" s="19">
        <v>74.25</v>
      </c>
      <c r="E555" s="19">
        <v>2.59</v>
      </c>
      <c r="F555" s="19">
        <v>0.85</v>
      </c>
      <c r="G555" s="19">
        <v>17.489999999999998</v>
      </c>
      <c r="H555" s="20">
        <v>14.16</v>
      </c>
      <c r="I555" s="20">
        <v>36.65</v>
      </c>
      <c r="J555" s="20">
        <v>929.49</v>
      </c>
      <c r="K555" s="21">
        <v>892090.29</v>
      </c>
      <c r="L555" s="2"/>
    </row>
    <row r="556" spans="1:12" x14ac:dyDescent="0.25">
      <c r="A556" s="58">
        <v>46076</v>
      </c>
      <c r="B556" s="18">
        <v>0.16666666666666666</v>
      </c>
      <c r="C556" s="19">
        <v>3.97</v>
      </c>
      <c r="D556" s="19">
        <v>75.3</v>
      </c>
      <c r="E556" s="19">
        <v>2.36</v>
      </c>
      <c r="F556" s="19">
        <v>1.0900000000000001</v>
      </c>
      <c r="G556" s="19">
        <v>17.45</v>
      </c>
      <c r="H556" s="20">
        <v>14.16</v>
      </c>
      <c r="I556" s="20">
        <v>36.71</v>
      </c>
      <c r="J556" s="20">
        <v>929.72</v>
      </c>
      <c r="K556" s="21">
        <v>877383.27</v>
      </c>
      <c r="L556" s="2"/>
    </row>
    <row r="557" spans="1:12" x14ac:dyDescent="0.25">
      <c r="A557" s="58">
        <v>46076</v>
      </c>
      <c r="B557" s="18">
        <v>0.20833333333333334</v>
      </c>
      <c r="C557" s="19">
        <v>5.95</v>
      </c>
      <c r="D557" s="19">
        <v>73.3</v>
      </c>
      <c r="E557" s="19">
        <v>1.9</v>
      </c>
      <c r="F557" s="19">
        <v>1.0900000000000001</v>
      </c>
      <c r="G557" s="19">
        <v>17.46</v>
      </c>
      <c r="H557" s="20">
        <v>14.16</v>
      </c>
      <c r="I557" s="20">
        <v>36.74</v>
      </c>
      <c r="J557" s="20">
        <v>929.91</v>
      </c>
      <c r="K557" s="21">
        <v>879056.04</v>
      </c>
      <c r="L557" s="2"/>
    </row>
    <row r="558" spans="1:12" x14ac:dyDescent="0.25">
      <c r="A558" s="58">
        <v>46076</v>
      </c>
      <c r="B558" s="18">
        <v>0.25</v>
      </c>
      <c r="C558" s="19">
        <v>6.17</v>
      </c>
      <c r="D558" s="19">
        <v>72.02</v>
      </c>
      <c r="E558" s="19">
        <v>2.04</v>
      </c>
      <c r="F558" s="19">
        <v>0.69</v>
      </c>
      <c r="G558" s="19">
        <v>17.47</v>
      </c>
      <c r="H558" s="20">
        <v>14.16</v>
      </c>
      <c r="I558" s="20">
        <v>36.82</v>
      </c>
      <c r="J558" s="20">
        <v>930.07</v>
      </c>
      <c r="K558" s="21">
        <v>879134.24</v>
      </c>
      <c r="L558" s="2"/>
    </row>
    <row r="559" spans="1:12" x14ac:dyDescent="0.25">
      <c r="A559" s="58">
        <v>46076</v>
      </c>
      <c r="B559" s="18">
        <v>0.29166666666666669</v>
      </c>
      <c r="C559" s="19">
        <v>6.5</v>
      </c>
      <c r="D559" s="19">
        <v>71.39</v>
      </c>
      <c r="E559" s="19">
        <v>2.27</v>
      </c>
      <c r="F559" s="19">
        <v>1.81</v>
      </c>
      <c r="G559" s="19">
        <v>17.45</v>
      </c>
      <c r="H559" s="20">
        <v>14.16</v>
      </c>
      <c r="I559" s="20">
        <v>36.909999999999997</v>
      </c>
      <c r="J559" s="20">
        <v>930.49</v>
      </c>
      <c r="K559" s="21">
        <v>888273.46</v>
      </c>
      <c r="L559" s="2"/>
    </row>
    <row r="560" spans="1:12" x14ac:dyDescent="0.25">
      <c r="A560" s="58">
        <v>46076</v>
      </c>
      <c r="B560" s="18">
        <v>0.33333333333333331</v>
      </c>
      <c r="C560" s="19">
        <v>6.66</v>
      </c>
      <c r="D560" s="19">
        <v>71.78</v>
      </c>
      <c r="E560" s="19">
        <v>1.9</v>
      </c>
      <c r="F560" s="19">
        <v>3.83</v>
      </c>
      <c r="G560" s="19">
        <v>17.41</v>
      </c>
      <c r="H560" s="20">
        <v>14.16</v>
      </c>
      <c r="I560" s="20">
        <v>37.06</v>
      </c>
      <c r="J560" s="20">
        <v>930.66</v>
      </c>
      <c r="K560" s="21">
        <v>909563.14999999991</v>
      </c>
      <c r="L560" s="2"/>
    </row>
    <row r="561" spans="1:12" x14ac:dyDescent="0.25">
      <c r="A561" s="58">
        <v>46076</v>
      </c>
      <c r="B561" s="18">
        <v>0.375</v>
      </c>
      <c r="C561" s="19">
        <v>6.06</v>
      </c>
      <c r="D561" s="19">
        <v>71.55</v>
      </c>
      <c r="E561" s="19">
        <v>2.65</v>
      </c>
      <c r="F561" s="19">
        <v>3.54</v>
      </c>
      <c r="G561" s="19">
        <v>17.41</v>
      </c>
      <c r="H561" s="20">
        <v>14.15</v>
      </c>
      <c r="I561" s="20">
        <v>37.08</v>
      </c>
      <c r="J561" s="20">
        <v>931.11</v>
      </c>
      <c r="K561" s="21">
        <v>912389.05</v>
      </c>
      <c r="L561" s="2"/>
    </row>
    <row r="562" spans="1:12" x14ac:dyDescent="0.25">
      <c r="A562" s="58">
        <v>46076</v>
      </c>
      <c r="B562" s="18">
        <v>0.41666666666666669</v>
      </c>
      <c r="C562" s="19">
        <v>5.62</v>
      </c>
      <c r="D562" s="19">
        <v>71.64</v>
      </c>
      <c r="E562" s="19">
        <v>2.1</v>
      </c>
      <c r="F562" s="19">
        <v>3.66</v>
      </c>
      <c r="G562" s="19">
        <v>17.39</v>
      </c>
      <c r="H562" s="20">
        <v>14.15</v>
      </c>
      <c r="I562" s="20">
        <v>37.18</v>
      </c>
      <c r="J562" s="20">
        <v>931.7</v>
      </c>
      <c r="K562" s="21">
        <v>914687.85000000009</v>
      </c>
      <c r="L562" s="2"/>
    </row>
    <row r="563" spans="1:12" x14ac:dyDescent="0.25">
      <c r="A563" s="58">
        <v>46076</v>
      </c>
      <c r="B563" s="18">
        <v>0.45833333333333331</v>
      </c>
      <c r="C563" s="19">
        <v>6.85</v>
      </c>
      <c r="D563" s="19">
        <v>72.48</v>
      </c>
      <c r="E563" s="19">
        <v>2.4700000000000002</v>
      </c>
      <c r="F563" s="19">
        <v>2.39</v>
      </c>
      <c r="G563" s="19">
        <v>17.41</v>
      </c>
      <c r="H563" s="20">
        <v>14.16</v>
      </c>
      <c r="I563" s="20">
        <v>37.47</v>
      </c>
      <c r="J563" s="20">
        <v>931.77</v>
      </c>
      <c r="K563" s="21">
        <v>916385.33000000007</v>
      </c>
      <c r="L563" s="2"/>
    </row>
    <row r="564" spans="1:12" x14ac:dyDescent="0.25">
      <c r="A564" s="58">
        <v>46076</v>
      </c>
      <c r="B564" s="18">
        <v>0.5</v>
      </c>
      <c r="C564" s="19">
        <v>4.79</v>
      </c>
      <c r="D564" s="19">
        <v>71.650000000000006</v>
      </c>
      <c r="E564" s="19">
        <v>2.4500000000000002</v>
      </c>
      <c r="F564" s="19">
        <v>2.08</v>
      </c>
      <c r="G564" s="19">
        <v>17.43</v>
      </c>
      <c r="H564" s="20">
        <v>14.18</v>
      </c>
      <c r="I564" s="20">
        <v>37.79</v>
      </c>
      <c r="J564" s="20">
        <v>931.75</v>
      </c>
      <c r="K564" s="21">
        <v>921073.49</v>
      </c>
      <c r="L564" s="2"/>
    </row>
    <row r="565" spans="1:12" x14ac:dyDescent="0.25">
      <c r="A565" s="58">
        <v>46076</v>
      </c>
      <c r="B565" s="18">
        <v>0.54166666666666663</v>
      </c>
      <c r="C565" s="19">
        <v>6.54</v>
      </c>
      <c r="D565" s="19">
        <v>72.23</v>
      </c>
      <c r="E565" s="19">
        <v>1.88</v>
      </c>
      <c r="F565" s="19">
        <v>0.95</v>
      </c>
      <c r="G565" s="19">
        <v>17.43</v>
      </c>
      <c r="H565" s="20">
        <v>14.18</v>
      </c>
      <c r="I565" s="20">
        <v>37.880000000000003</v>
      </c>
      <c r="J565" s="20">
        <v>931.82</v>
      </c>
      <c r="K565" s="21">
        <v>920174.17999999993</v>
      </c>
      <c r="L565" s="2"/>
    </row>
    <row r="566" spans="1:12" x14ac:dyDescent="0.25">
      <c r="A566" s="58">
        <v>46076</v>
      </c>
      <c r="B566" s="18">
        <v>0.58333333333333337</v>
      </c>
      <c r="C566" s="19">
        <v>4.7300000000000004</v>
      </c>
      <c r="D566" s="19">
        <v>71.89</v>
      </c>
      <c r="E566" s="19">
        <v>2.37</v>
      </c>
      <c r="F566" s="19">
        <v>0.97</v>
      </c>
      <c r="G566" s="19">
        <v>17.440000000000001</v>
      </c>
      <c r="H566" s="20">
        <v>14.18</v>
      </c>
      <c r="I566" s="20">
        <v>37.92</v>
      </c>
      <c r="J566" s="20">
        <v>931.79</v>
      </c>
      <c r="K566" s="21">
        <v>920574.40999999992</v>
      </c>
      <c r="L566" s="2"/>
    </row>
    <row r="567" spans="1:12" x14ac:dyDescent="0.25">
      <c r="A567" s="58">
        <v>46076</v>
      </c>
      <c r="B567" s="18">
        <v>0.625</v>
      </c>
      <c r="C567" s="19">
        <v>5.43</v>
      </c>
      <c r="D567" s="19">
        <v>72</v>
      </c>
      <c r="E567" s="19">
        <v>2.44</v>
      </c>
      <c r="F567" s="19">
        <v>1.56</v>
      </c>
      <c r="G567" s="19">
        <v>17.440000000000001</v>
      </c>
      <c r="H567" s="20">
        <v>14.18</v>
      </c>
      <c r="I567" s="20">
        <v>37.950000000000003</v>
      </c>
      <c r="J567" s="20">
        <v>932.12</v>
      </c>
      <c r="K567" s="21">
        <v>924247.24</v>
      </c>
      <c r="L567" s="2"/>
    </row>
    <row r="568" spans="1:12" x14ac:dyDescent="0.25">
      <c r="A568" s="58">
        <v>46076</v>
      </c>
      <c r="B568" s="18">
        <v>0.66666666666666663</v>
      </c>
      <c r="C568" s="19">
        <v>6.45</v>
      </c>
      <c r="D568" s="19">
        <v>72.760000000000005</v>
      </c>
      <c r="E568" s="19">
        <v>2.0099999999999998</v>
      </c>
      <c r="F568" s="19">
        <v>1.26</v>
      </c>
      <c r="G568" s="19">
        <v>17.47</v>
      </c>
      <c r="H568" s="20">
        <v>14.17</v>
      </c>
      <c r="I568" s="20">
        <v>37.880000000000003</v>
      </c>
      <c r="J568" s="20">
        <v>932.46</v>
      </c>
      <c r="K568" s="21">
        <v>927973.57000000007</v>
      </c>
      <c r="L568" s="2"/>
    </row>
    <row r="569" spans="1:12" x14ac:dyDescent="0.25">
      <c r="A569" s="58">
        <v>46076</v>
      </c>
      <c r="B569" s="18">
        <v>0.70833333333333337</v>
      </c>
      <c r="C569" s="19">
        <v>5.59</v>
      </c>
      <c r="D569" s="19">
        <v>72.010000000000005</v>
      </c>
      <c r="E569" s="19">
        <v>2.36</v>
      </c>
      <c r="F569" s="19">
        <v>1.34</v>
      </c>
      <c r="G569" s="19">
        <v>17.440000000000001</v>
      </c>
      <c r="H569" s="20">
        <v>14.16</v>
      </c>
      <c r="I569" s="20">
        <v>37.82</v>
      </c>
      <c r="J569" s="20">
        <v>932.97</v>
      </c>
      <c r="K569" s="21">
        <v>915830.04</v>
      </c>
      <c r="L569" s="2"/>
    </row>
    <row r="570" spans="1:12" x14ac:dyDescent="0.25">
      <c r="A570" s="58">
        <v>46076</v>
      </c>
      <c r="B570" s="18">
        <v>0.75</v>
      </c>
      <c r="C570" s="19">
        <v>5.03</v>
      </c>
      <c r="D570" s="19">
        <v>72.3</v>
      </c>
      <c r="E570" s="19">
        <v>2.52</v>
      </c>
      <c r="F570" s="19">
        <v>1.0900000000000001</v>
      </c>
      <c r="G570" s="19">
        <v>17.440000000000001</v>
      </c>
      <c r="H570" s="20">
        <v>14.15</v>
      </c>
      <c r="I570" s="20">
        <v>37.799999999999997</v>
      </c>
      <c r="J570" s="20">
        <v>933.49</v>
      </c>
      <c r="K570" s="21">
        <v>934830.31</v>
      </c>
      <c r="L570" s="2"/>
    </row>
    <row r="571" spans="1:12" x14ac:dyDescent="0.25">
      <c r="A571" s="58">
        <v>46076</v>
      </c>
      <c r="B571" s="18">
        <v>0.79166666666666663</v>
      </c>
      <c r="C571" s="19">
        <v>5.49</v>
      </c>
      <c r="D571" s="19">
        <v>72.22</v>
      </c>
      <c r="E571" s="19">
        <v>2.4300000000000002</v>
      </c>
      <c r="F571" s="19">
        <v>1.0900000000000001</v>
      </c>
      <c r="G571" s="19">
        <v>17.45</v>
      </c>
      <c r="H571" s="20">
        <v>14.14</v>
      </c>
      <c r="I571" s="20">
        <v>37.82</v>
      </c>
      <c r="J571" s="20">
        <v>934.05</v>
      </c>
      <c r="K571" s="21">
        <v>945957.31</v>
      </c>
      <c r="L571" s="2"/>
    </row>
    <row r="572" spans="1:12" x14ac:dyDescent="0.25">
      <c r="A572" s="58">
        <v>46076</v>
      </c>
      <c r="B572" s="18">
        <v>0.83333333333333337</v>
      </c>
      <c r="C572" s="19">
        <v>3.06</v>
      </c>
      <c r="D572" s="19">
        <v>72.23</v>
      </c>
      <c r="E572" s="19">
        <v>2.2200000000000002</v>
      </c>
      <c r="F572" s="19">
        <v>0.75</v>
      </c>
      <c r="G572" s="19">
        <v>17.47</v>
      </c>
      <c r="H572" s="20">
        <v>14.13</v>
      </c>
      <c r="I572" s="20">
        <v>37.619999999999997</v>
      </c>
      <c r="J572" s="20">
        <v>934.27</v>
      </c>
      <c r="K572" s="21">
        <v>937054.62999999989</v>
      </c>
      <c r="L572" s="2"/>
    </row>
    <row r="573" spans="1:12" x14ac:dyDescent="0.25">
      <c r="A573" s="58">
        <v>46076</v>
      </c>
      <c r="B573" s="18">
        <v>0.875</v>
      </c>
      <c r="C573" s="19">
        <v>3.24</v>
      </c>
      <c r="D573" s="19">
        <v>72.540000000000006</v>
      </c>
      <c r="E573" s="19">
        <v>2.36</v>
      </c>
      <c r="F573" s="19">
        <v>0.56000000000000005</v>
      </c>
      <c r="G573" s="19">
        <v>17.47</v>
      </c>
      <c r="H573" s="20">
        <v>14.11</v>
      </c>
      <c r="I573" s="20">
        <v>37.28</v>
      </c>
      <c r="J573" s="20">
        <v>934.6</v>
      </c>
      <c r="K573" s="21">
        <v>926351.26</v>
      </c>
      <c r="L573" s="2"/>
    </row>
    <row r="574" spans="1:12" x14ac:dyDescent="0.25">
      <c r="A574" s="58">
        <v>46076</v>
      </c>
      <c r="B574" s="18">
        <v>0.91666666666666663</v>
      </c>
      <c r="C574" s="19">
        <v>4.4800000000000004</v>
      </c>
      <c r="D574" s="19">
        <v>73.2</v>
      </c>
      <c r="E574" s="19">
        <v>2.57</v>
      </c>
      <c r="F574" s="19">
        <v>1.02</v>
      </c>
      <c r="G574" s="19">
        <v>17.48</v>
      </c>
      <c r="H574" s="20">
        <v>14.1</v>
      </c>
      <c r="I574" s="20">
        <v>37.1</v>
      </c>
      <c r="J574" s="20">
        <v>934.92</v>
      </c>
      <c r="K574" s="21">
        <v>924352.1100000001</v>
      </c>
      <c r="L574" s="2"/>
    </row>
    <row r="575" spans="1:12" ht="15.75" thickBot="1" x14ac:dyDescent="0.3">
      <c r="A575" s="60">
        <v>46076</v>
      </c>
      <c r="B575" s="35">
        <v>0.95833333333333337</v>
      </c>
      <c r="C575" s="23">
        <v>5.87</v>
      </c>
      <c r="D575" s="23">
        <v>72.75</v>
      </c>
      <c r="E575" s="23">
        <v>2.4500000000000002</v>
      </c>
      <c r="F575" s="23">
        <v>0.71</v>
      </c>
      <c r="G575" s="23">
        <v>17.5</v>
      </c>
      <c r="H575" s="24">
        <v>14.09</v>
      </c>
      <c r="I575" s="24">
        <v>37.01</v>
      </c>
      <c r="J575" s="24">
        <v>935.31</v>
      </c>
      <c r="K575" s="25">
        <v>926519.81</v>
      </c>
      <c r="L575" s="2"/>
    </row>
    <row r="576" spans="1:12" ht="15.75" thickBot="1" x14ac:dyDescent="0.3">
      <c r="A576" s="26" t="s">
        <v>67</v>
      </c>
      <c r="B576" s="44"/>
      <c r="C576" s="45">
        <f t="shared" ref="C576:K576" si="22">IFERROR(ROUND(AVERAGE(C552:C575), 2), "")</f>
        <v>5.28</v>
      </c>
      <c r="D576" s="45">
        <f t="shared" si="22"/>
        <v>72.73</v>
      </c>
      <c r="E576" s="45">
        <f t="shared" si="22"/>
        <v>2.27</v>
      </c>
      <c r="F576" s="45">
        <f t="shared" si="22"/>
        <v>1.44</v>
      </c>
      <c r="G576" s="45">
        <f t="shared" si="22"/>
        <v>17.45</v>
      </c>
      <c r="H576" s="45">
        <f t="shared" si="22"/>
        <v>14.15</v>
      </c>
      <c r="I576" s="45">
        <f t="shared" si="22"/>
        <v>37.28</v>
      </c>
      <c r="J576" s="45">
        <f t="shared" si="22"/>
        <v>931.77</v>
      </c>
      <c r="K576" s="46">
        <f t="shared" si="22"/>
        <v>909882.89</v>
      </c>
      <c r="L576" s="7"/>
    </row>
    <row r="577" spans="1:12" x14ac:dyDescent="0.25">
      <c r="A577" s="57">
        <v>46077</v>
      </c>
      <c r="B577" s="14">
        <v>0</v>
      </c>
      <c r="C577" s="15">
        <v>6.17</v>
      </c>
      <c r="D577" s="15">
        <v>72.58</v>
      </c>
      <c r="E577" s="15">
        <v>2.6</v>
      </c>
      <c r="F577" s="15">
        <v>0.95</v>
      </c>
      <c r="G577" s="15">
        <v>17.5</v>
      </c>
      <c r="H577" s="16">
        <v>14.08</v>
      </c>
      <c r="I577" s="16">
        <v>37.01</v>
      </c>
      <c r="J577" s="16">
        <v>935.58</v>
      </c>
      <c r="K577" s="17">
        <v>933402</v>
      </c>
      <c r="L577" s="2"/>
    </row>
    <row r="578" spans="1:12" x14ac:dyDescent="0.25">
      <c r="A578" s="58">
        <v>46077</v>
      </c>
      <c r="B578" s="18">
        <v>4.1666666666666664E-2</v>
      </c>
      <c r="C578" s="19">
        <v>6.21</v>
      </c>
      <c r="D578" s="19">
        <v>73.010000000000005</v>
      </c>
      <c r="E578" s="19">
        <v>2.41</v>
      </c>
      <c r="F578" s="19">
        <v>0.89</v>
      </c>
      <c r="G578" s="19">
        <v>17.48</v>
      </c>
      <c r="H578" s="20">
        <v>14.07</v>
      </c>
      <c r="I578" s="20">
        <v>36.909999999999997</v>
      </c>
      <c r="J578" s="20">
        <v>936.01</v>
      </c>
      <c r="K578" s="21">
        <v>917403.3899999999</v>
      </c>
      <c r="L578" s="2"/>
    </row>
    <row r="579" spans="1:12" x14ac:dyDescent="0.25">
      <c r="A579" s="58">
        <v>46077</v>
      </c>
      <c r="B579" s="18">
        <v>8.3333333333333329E-2</v>
      </c>
      <c r="C579" s="19">
        <v>4.91</v>
      </c>
      <c r="D579" s="19">
        <v>71.97</v>
      </c>
      <c r="E579" s="19">
        <v>2.58</v>
      </c>
      <c r="F579" s="19">
        <v>0.83</v>
      </c>
      <c r="G579" s="19">
        <v>17.48</v>
      </c>
      <c r="H579" s="20">
        <v>14.07</v>
      </c>
      <c r="I579" s="20">
        <v>36.92</v>
      </c>
      <c r="J579" s="20">
        <v>936.24</v>
      </c>
      <c r="K579" s="21">
        <v>916974.3</v>
      </c>
      <c r="L579" s="2"/>
    </row>
    <row r="580" spans="1:12" x14ac:dyDescent="0.25">
      <c r="A580" s="58">
        <v>46077</v>
      </c>
      <c r="B580" s="18">
        <v>0.125</v>
      </c>
      <c r="C580" s="19">
        <v>3.11</v>
      </c>
      <c r="D580" s="19">
        <v>72.64</v>
      </c>
      <c r="E580" s="19">
        <v>2.27</v>
      </c>
      <c r="F580" s="19">
        <v>1.76</v>
      </c>
      <c r="G580" s="19">
        <v>17.489999999999998</v>
      </c>
      <c r="H580" s="20">
        <v>14.07</v>
      </c>
      <c r="I580" s="20">
        <v>36.92</v>
      </c>
      <c r="J580" s="20">
        <v>936.11</v>
      </c>
      <c r="K580" s="21">
        <v>917353.96</v>
      </c>
      <c r="L580" s="2"/>
    </row>
    <row r="581" spans="1:12" x14ac:dyDescent="0.25">
      <c r="A581" s="58">
        <v>46077</v>
      </c>
      <c r="B581" s="18">
        <v>0.16666666666666666</v>
      </c>
      <c r="C581" s="19">
        <v>5.0199999999999996</v>
      </c>
      <c r="D581" s="19">
        <v>72.209999999999994</v>
      </c>
      <c r="E581" s="19">
        <v>2.06</v>
      </c>
      <c r="F581" s="19">
        <v>2.02</v>
      </c>
      <c r="G581" s="19">
        <v>17.47</v>
      </c>
      <c r="H581" s="20">
        <v>14.07</v>
      </c>
      <c r="I581" s="20">
        <v>36.979999999999997</v>
      </c>
      <c r="J581" s="20">
        <v>936.34</v>
      </c>
      <c r="K581" s="21">
        <v>911052.94</v>
      </c>
      <c r="L581" s="2"/>
    </row>
    <row r="582" spans="1:12" x14ac:dyDescent="0.25">
      <c r="A582" s="58">
        <v>46077</v>
      </c>
      <c r="B582" s="18">
        <v>0.20833333333333334</v>
      </c>
      <c r="C582" s="19">
        <v>4.96</v>
      </c>
      <c r="D582" s="19">
        <v>72.34</v>
      </c>
      <c r="E582" s="19">
        <v>2.52</v>
      </c>
      <c r="F582" s="19">
        <v>1.63</v>
      </c>
      <c r="G582" s="19">
        <v>17.47</v>
      </c>
      <c r="H582" s="20">
        <v>14.07</v>
      </c>
      <c r="I582" s="20">
        <v>37.04</v>
      </c>
      <c r="J582" s="20">
        <v>936.44</v>
      </c>
      <c r="K582" s="21">
        <v>918509.62000000011</v>
      </c>
      <c r="L582" s="2"/>
    </row>
    <row r="583" spans="1:12" x14ac:dyDescent="0.25">
      <c r="A583" s="58">
        <v>46077</v>
      </c>
      <c r="B583" s="18">
        <v>0.25</v>
      </c>
      <c r="C583" s="19">
        <v>4.93</v>
      </c>
      <c r="D583" s="19">
        <v>72.73</v>
      </c>
      <c r="E583" s="19">
        <v>2.46</v>
      </c>
      <c r="F583" s="19">
        <v>0.87</v>
      </c>
      <c r="G583" s="19">
        <v>17.5</v>
      </c>
      <c r="H583" s="20">
        <v>14.07</v>
      </c>
      <c r="I583" s="20">
        <v>36.94</v>
      </c>
      <c r="J583" s="20">
        <v>936.38</v>
      </c>
      <c r="K583" s="21">
        <v>930899.76</v>
      </c>
      <c r="L583" s="2"/>
    </row>
    <row r="584" spans="1:12" x14ac:dyDescent="0.25">
      <c r="A584" s="58">
        <v>46077</v>
      </c>
      <c r="B584" s="18">
        <v>0.29166666666666669</v>
      </c>
      <c r="C584" s="19">
        <v>2.58</v>
      </c>
      <c r="D584" s="19">
        <v>73.2</v>
      </c>
      <c r="E584" s="19">
        <v>2.46</v>
      </c>
      <c r="F584" s="19">
        <v>0.81</v>
      </c>
      <c r="G584" s="19">
        <v>17.48</v>
      </c>
      <c r="H584" s="20">
        <v>14.05</v>
      </c>
      <c r="I584" s="20">
        <v>36.869999999999997</v>
      </c>
      <c r="J584" s="20">
        <v>937.22</v>
      </c>
      <c r="K584" s="21">
        <v>907634.28</v>
      </c>
      <c r="L584" s="2"/>
    </row>
    <row r="585" spans="1:12" x14ac:dyDescent="0.25">
      <c r="A585" s="58">
        <v>46077</v>
      </c>
      <c r="B585" s="18">
        <v>0.33333333333333331</v>
      </c>
      <c r="C585" s="19">
        <v>5.65</v>
      </c>
      <c r="D585" s="19">
        <v>73.319999999999993</v>
      </c>
      <c r="E585" s="19">
        <v>2.2799999999999998</v>
      </c>
      <c r="F585" s="19">
        <v>0.56000000000000005</v>
      </c>
      <c r="G585" s="19">
        <v>17.48</v>
      </c>
      <c r="H585" s="20">
        <v>14.04</v>
      </c>
      <c r="I585" s="20">
        <v>36.75</v>
      </c>
      <c r="J585" s="20">
        <v>937.59</v>
      </c>
      <c r="K585" s="21">
        <v>917871.02</v>
      </c>
      <c r="L585" s="2"/>
    </row>
    <row r="586" spans="1:12" x14ac:dyDescent="0.25">
      <c r="A586" s="58">
        <v>46077</v>
      </c>
      <c r="B586" s="18">
        <v>0.375</v>
      </c>
      <c r="C586" s="19">
        <v>6.56</v>
      </c>
      <c r="D586" s="19">
        <v>73.760000000000005</v>
      </c>
      <c r="E586" s="19">
        <v>1.94</v>
      </c>
      <c r="F586" s="19">
        <v>55</v>
      </c>
      <c r="G586" s="19">
        <v>17.48</v>
      </c>
      <c r="H586" s="20">
        <v>14.04</v>
      </c>
      <c r="I586" s="20">
        <v>36.76</v>
      </c>
      <c r="J586" s="20">
        <v>937.84</v>
      </c>
      <c r="K586" s="21">
        <v>922699.54</v>
      </c>
      <c r="L586" s="2"/>
    </row>
    <row r="587" spans="1:12" x14ac:dyDescent="0.25">
      <c r="A587" s="58">
        <v>46077</v>
      </c>
      <c r="B587" s="18">
        <v>0.41666666666666669</v>
      </c>
      <c r="C587" s="19">
        <v>5.52</v>
      </c>
      <c r="D587" s="19">
        <v>73.760000000000005</v>
      </c>
      <c r="E587" s="19">
        <v>1.89</v>
      </c>
      <c r="F587" s="19">
        <v>1.08</v>
      </c>
      <c r="G587" s="19">
        <v>17.48</v>
      </c>
      <c r="H587" s="20">
        <v>14.03</v>
      </c>
      <c r="I587" s="20">
        <v>36.799999999999997</v>
      </c>
      <c r="J587" s="20">
        <v>938.42</v>
      </c>
      <c r="K587" s="21">
        <v>920110.55</v>
      </c>
      <c r="L587" s="2"/>
    </row>
    <row r="588" spans="1:12" x14ac:dyDescent="0.25">
      <c r="A588" s="58">
        <v>46077</v>
      </c>
      <c r="B588" s="18">
        <v>0.45833333333333331</v>
      </c>
      <c r="C588" s="19">
        <v>6.89</v>
      </c>
      <c r="D588" s="19">
        <v>73.97</v>
      </c>
      <c r="E588" s="19">
        <v>1.95</v>
      </c>
      <c r="F588" s="19">
        <v>0.56999999999999995</v>
      </c>
      <c r="G588" s="19">
        <v>17.48</v>
      </c>
      <c r="H588" s="20">
        <v>14.03</v>
      </c>
      <c r="I588" s="20">
        <v>36.89</v>
      </c>
      <c r="J588" s="20">
        <v>938.46</v>
      </c>
      <c r="K588" s="21">
        <v>919367.07000000007</v>
      </c>
      <c r="L588" s="2"/>
    </row>
    <row r="589" spans="1:12" x14ac:dyDescent="0.25">
      <c r="A589" s="58">
        <v>46077</v>
      </c>
      <c r="B589" s="18">
        <v>0.5</v>
      </c>
      <c r="C589" s="19">
        <v>5.7</v>
      </c>
      <c r="D589" s="19">
        <v>73.7</v>
      </c>
      <c r="E589" s="19">
        <v>2.06</v>
      </c>
      <c r="F589" s="19">
        <v>0.31</v>
      </c>
      <c r="G589" s="19">
        <v>17.47</v>
      </c>
      <c r="H589" s="20">
        <v>14.03</v>
      </c>
      <c r="I589" s="20">
        <v>36.89</v>
      </c>
      <c r="J589" s="20">
        <v>938.3</v>
      </c>
      <c r="K589" s="21">
        <v>917912.03</v>
      </c>
      <c r="L589" s="2"/>
    </row>
    <row r="590" spans="1:12" x14ac:dyDescent="0.25">
      <c r="A590" s="58">
        <v>46077</v>
      </c>
      <c r="B590" s="18">
        <v>0.54166666666666663</v>
      </c>
      <c r="C590" s="19">
        <v>6.52</v>
      </c>
      <c r="D590" s="19">
        <v>70.91</v>
      </c>
      <c r="E590" s="19">
        <v>2.16</v>
      </c>
      <c r="F590" s="19">
        <v>18.78</v>
      </c>
      <c r="G590" s="19">
        <v>17.39</v>
      </c>
      <c r="H590" s="20">
        <v>14.06</v>
      </c>
      <c r="I590" s="20">
        <v>37.31</v>
      </c>
      <c r="J590" s="20">
        <v>938.03</v>
      </c>
      <c r="K590" s="21">
        <v>936696.99</v>
      </c>
      <c r="L590" s="2"/>
    </row>
    <row r="591" spans="1:12" x14ac:dyDescent="0.25">
      <c r="A591" s="58">
        <v>46077</v>
      </c>
      <c r="B591" s="18">
        <v>0.58333333333333337</v>
      </c>
      <c r="C591" s="19">
        <v>4.47</v>
      </c>
      <c r="D591" s="19">
        <v>73.900000000000006</v>
      </c>
      <c r="E591" s="19">
        <v>2.21</v>
      </c>
      <c r="F591" s="19">
        <v>3.38</v>
      </c>
      <c r="G591" s="19">
        <v>17.39</v>
      </c>
      <c r="H591" s="20">
        <v>14.09</v>
      </c>
      <c r="I591" s="20">
        <v>38.06</v>
      </c>
      <c r="J591" s="20">
        <v>937.92</v>
      </c>
      <c r="K591" s="21">
        <v>959227.8899999999</v>
      </c>
      <c r="L591" s="2"/>
    </row>
    <row r="592" spans="1:12" x14ac:dyDescent="0.25">
      <c r="A592" s="58">
        <v>46077</v>
      </c>
      <c r="B592" s="18">
        <v>0.625</v>
      </c>
      <c r="C592" s="19">
        <v>6.34</v>
      </c>
      <c r="D592" s="19">
        <v>74.8</v>
      </c>
      <c r="E592" s="19">
        <v>2.77</v>
      </c>
      <c r="F592" s="19">
        <v>2.92</v>
      </c>
      <c r="G592" s="19">
        <v>17.399999999999999</v>
      </c>
      <c r="H592" s="20">
        <v>14.1</v>
      </c>
      <c r="I592" s="20">
        <v>38.159999999999997</v>
      </c>
      <c r="J592" s="20">
        <v>938.21</v>
      </c>
      <c r="K592" s="21">
        <v>964435.03</v>
      </c>
      <c r="L592" s="2"/>
    </row>
    <row r="593" spans="1:12" x14ac:dyDescent="0.25">
      <c r="A593" s="58">
        <v>46077</v>
      </c>
      <c r="B593" s="18">
        <v>0.66666666666666663</v>
      </c>
      <c r="C593" s="19">
        <v>5.01</v>
      </c>
      <c r="D593" s="19">
        <v>74.760000000000005</v>
      </c>
      <c r="E593" s="19">
        <v>2.78</v>
      </c>
      <c r="F593" s="19">
        <v>2.88</v>
      </c>
      <c r="G593" s="19">
        <v>17.39</v>
      </c>
      <c r="H593" s="20">
        <v>14.09</v>
      </c>
      <c r="I593" s="20">
        <v>38.08</v>
      </c>
      <c r="J593" s="20">
        <v>938.22</v>
      </c>
      <c r="K593" s="21">
        <v>966807.81</v>
      </c>
      <c r="L593" s="2"/>
    </row>
    <row r="594" spans="1:12" x14ac:dyDescent="0.25">
      <c r="A594" s="58">
        <v>46077</v>
      </c>
      <c r="B594" s="18">
        <v>0.70833333333333337</v>
      </c>
      <c r="C594" s="19">
        <v>2.72</v>
      </c>
      <c r="D594" s="19">
        <v>74.58</v>
      </c>
      <c r="E594" s="19">
        <v>2.5099999999999998</v>
      </c>
      <c r="F594" s="19">
        <v>2.19</v>
      </c>
      <c r="G594" s="19">
        <v>17.39</v>
      </c>
      <c r="H594" s="20">
        <v>14.08</v>
      </c>
      <c r="I594" s="20">
        <v>38.020000000000003</v>
      </c>
      <c r="J594" s="20">
        <v>938.65</v>
      </c>
      <c r="K594" s="21">
        <v>962162.24</v>
      </c>
      <c r="L594" s="2"/>
    </row>
    <row r="595" spans="1:12" x14ac:dyDescent="0.25">
      <c r="A595" s="58">
        <v>46077</v>
      </c>
      <c r="B595" s="18">
        <v>0.75</v>
      </c>
      <c r="C595" s="19">
        <v>5.24</v>
      </c>
      <c r="D595" s="19">
        <v>70.790000000000006</v>
      </c>
      <c r="E595" s="19">
        <v>1.82</v>
      </c>
      <c r="F595" s="19">
        <v>8.11</v>
      </c>
      <c r="G595" s="19">
        <v>17.34</v>
      </c>
      <c r="H595" s="20">
        <v>14.09</v>
      </c>
      <c r="I595" s="20">
        <v>38.26</v>
      </c>
      <c r="J595" s="20">
        <v>938.71</v>
      </c>
      <c r="K595" s="21">
        <v>954255.52</v>
      </c>
      <c r="L595" s="2"/>
    </row>
    <row r="596" spans="1:12" x14ac:dyDescent="0.25">
      <c r="A596" s="58">
        <v>46077</v>
      </c>
      <c r="B596" s="18">
        <v>0.79166666666666663</v>
      </c>
      <c r="C596" s="19">
        <v>4.78</v>
      </c>
      <c r="D596" s="19">
        <v>71.08</v>
      </c>
      <c r="E596" s="19">
        <v>2.56</v>
      </c>
      <c r="F596" s="19">
        <v>10.210000000000001</v>
      </c>
      <c r="G596" s="19">
        <v>17.350000000000001</v>
      </c>
      <c r="H596" s="20">
        <v>14.1</v>
      </c>
      <c r="I596" s="20">
        <v>38.6</v>
      </c>
      <c r="J596" s="20">
        <v>938.9</v>
      </c>
      <c r="K596" s="21">
        <v>958813.23</v>
      </c>
      <c r="L596" s="2"/>
    </row>
    <row r="597" spans="1:12" x14ac:dyDescent="0.25">
      <c r="A597" s="58">
        <v>46077</v>
      </c>
      <c r="B597" s="18">
        <v>0.83333333333333337</v>
      </c>
      <c r="C597" s="19">
        <v>5.61</v>
      </c>
      <c r="D597" s="19">
        <v>72.02</v>
      </c>
      <c r="E597" s="19">
        <v>1.89</v>
      </c>
      <c r="F597" s="19">
        <v>10.77</v>
      </c>
      <c r="G597" s="19">
        <v>17.34</v>
      </c>
      <c r="H597" s="20">
        <v>14.12</v>
      </c>
      <c r="I597" s="20">
        <v>39.04</v>
      </c>
      <c r="J597" s="20">
        <v>939.02</v>
      </c>
      <c r="K597" s="21">
        <v>963062.78</v>
      </c>
      <c r="L597" s="2"/>
    </row>
    <row r="598" spans="1:12" x14ac:dyDescent="0.25">
      <c r="A598" s="58">
        <v>46077</v>
      </c>
      <c r="B598" s="18">
        <v>0.875</v>
      </c>
      <c r="C598" s="19">
        <v>6.4</v>
      </c>
      <c r="D598" s="19">
        <v>71.8</v>
      </c>
      <c r="E598" s="19">
        <v>1.94</v>
      </c>
      <c r="F598" s="19">
        <v>10.61</v>
      </c>
      <c r="G598" s="19">
        <v>17.32</v>
      </c>
      <c r="H598" s="20">
        <v>14.13</v>
      </c>
      <c r="I598" s="20">
        <v>39.24</v>
      </c>
      <c r="J598" s="20">
        <v>939.35</v>
      </c>
      <c r="K598" s="21">
        <v>963134.3600000001</v>
      </c>
      <c r="L598" s="2"/>
    </row>
    <row r="599" spans="1:12" x14ac:dyDescent="0.25">
      <c r="A599" s="58">
        <v>46077</v>
      </c>
      <c r="B599" s="18">
        <v>0.91666666666666663</v>
      </c>
      <c r="C599" s="19">
        <v>5.05</v>
      </c>
      <c r="D599" s="19">
        <v>71.64</v>
      </c>
      <c r="E599" s="19">
        <v>2.79</v>
      </c>
      <c r="F599" s="19">
        <v>11.57</v>
      </c>
      <c r="G599" s="19">
        <v>17.329999999999998</v>
      </c>
      <c r="H599" s="20">
        <v>14.13</v>
      </c>
      <c r="I599" s="20">
        <v>39.24</v>
      </c>
      <c r="J599" s="20">
        <v>939.25</v>
      </c>
      <c r="K599" s="21">
        <v>954768.12999999989</v>
      </c>
      <c r="L599" s="2"/>
    </row>
    <row r="600" spans="1:12" ht="15.75" thickBot="1" x14ac:dyDescent="0.3">
      <c r="A600" s="60">
        <v>46077</v>
      </c>
      <c r="B600" s="35">
        <v>0.95833333333333337</v>
      </c>
      <c r="C600" s="23">
        <v>3.37</v>
      </c>
      <c r="D600" s="23">
        <v>71.88</v>
      </c>
      <c r="E600" s="23">
        <v>2.31</v>
      </c>
      <c r="F600" s="23">
        <v>11.47</v>
      </c>
      <c r="G600" s="23">
        <v>17.34</v>
      </c>
      <c r="H600" s="24">
        <v>14.12</v>
      </c>
      <c r="I600" s="24">
        <v>39.22</v>
      </c>
      <c r="J600" s="24">
        <v>939.31</v>
      </c>
      <c r="K600" s="25">
        <v>965399.06</v>
      </c>
      <c r="L600" s="2"/>
    </row>
    <row r="601" spans="1:12" ht="15.75" thickBot="1" x14ac:dyDescent="0.3">
      <c r="A601" s="26" t="s">
        <v>68</v>
      </c>
      <c r="B601" s="44"/>
      <c r="C601" s="45">
        <f t="shared" ref="C601:K601" si="23">IFERROR(ROUND(AVERAGE(C577:C600), 2), "")</f>
        <v>5.16</v>
      </c>
      <c r="D601" s="45">
        <f t="shared" si="23"/>
        <v>72.81</v>
      </c>
      <c r="E601" s="45">
        <f t="shared" si="23"/>
        <v>2.2999999999999998</v>
      </c>
      <c r="F601" s="45">
        <f t="shared" si="23"/>
        <v>6.67</v>
      </c>
      <c r="G601" s="45">
        <f t="shared" si="23"/>
        <v>17.43</v>
      </c>
      <c r="H601" s="45">
        <f t="shared" si="23"/>
        <v>14.08</v>
      </c>
      <c r="I601" s="45">
        <f t="shared" si="23"/>
        <v>37.619999999999997</v>
      </c>
      <c r="J601" s="45">
        <f t="shared" si="23"/>
        <v>937.77</v>
      </c>
      <c r="K601" s="46">
        <f t="shared" si="23"/>
        <v>937498.06</v>
      </c>
      <c r="L601" s="7"/>
    </row>
    <row r="602" spans="1:12" x14ac:dyDescent="0.25">
      <c r="A602" s="57">
        <v>46078</v>
      </c>
      <c r="B602" s="14">
        <v>0</v>
      </c>
      <c r="C602" s="15">
        <v>3.97</v>
      </c>
      <c r="D602" s="15">
        <v>70.98</v>
      </c>
      <c r="E602" s="15">
        <v>2.75</v>
      </c>
      <c r="F602" s="15">
        <v>25.92</v>
      </c>
      <c r="G602" s="15">
        <v>17.309999999999999</v>
      </c>
      <c r="H602" s="16">
        <v>14.13</v>
      </c>
      <c r="I602" s="16">
        <v>39.200000000000003</v>
      </c>
      <c r="J602" s="16">
        <v>939.23</v>
      </c>
      <c r="K602" s="17">
        <v>964641.98</v>
      </c>
      <c r="L602" s="2"/>
    </row>
    <row r="603" spans="1:12" x14ac:dyDescent="0.25">
      <c r="A603" s="58">
        <v>46078</v>
      </c>
      <c r="B603" s="18">
        <v>4.1666666666666664E-2</v>
      </c>
      <c r="C603" s="19">
        <v>4.87</v>
      </c>
      <c r="D603" s="19">
        <v>70.41</v>
      </c>
      <c r="E603" s="19">
        <v>2.1</v>
      </c>
      <c r="F603" s="19">
        <v>26.88</v>
      </c>
      <c r="G603" s="19">
        <v>17.309999999999999</v>
      </c>
      <c r="H603" s="20">
        <v>14.12</v>
      </c>
      <c r="I603" s="20">
        <v>39.07</v>
      </c>
      <c r="J603" s="20">
        <v>939.16</v>
      </c>
      <c r="K603" s="21">
        <v>958593.12999999989</v>
      </c>
      <c r="L603" s="2"/>
    </row>
    <row r="604" spans="1:12" x14ac:dyDescent="0.25">
      <c r="A604" s="58">
        <v>46078</v>
      </c>
      <c r="B604" s="18">
        <v>8.3333333333333329E-2</v>
      </c>
      <c r="C604" s="19">
        <v>4.43</v>
      </c>
      <c r="D604" s="19">
        <v>70.739999999999995</v>
      </c>
      <c r="E604" s="19">
        <v>1.89</v>
      </c>
      <c r="F604" s="19">
        <v>29.94</v>
      </c>
      <c r="G604" s="19">
        <v>17.32</v>
      </c>
      <c r="H604" s="20">
        <v>14.12</v>
      </c>
      <c r="I604" s="20">
        <v>39.06</v>
      </c>
      <c r="J604" s="20">
        <v>939.25</v>
      </c>
      <c r="K604" s="21">
        <v>964048.71</v>
      </c>
      <c r="L604" s="2"/>
    </row>
    <row r="605" spans="1:12" x14ac:dyDescent="0.25">
      <c r="A605" s="58">
        <v>46078</v>
      </c>
      <c r="B605" s="18">
        <v>0.125</v>
      </c>
      <c r="C605" s="19">
        <v>5.15</v>
      </c>
      <c r="D605" s="19">
        <v>70.08</v>
      </c>
      <c r="E605" s="19">
        <v>2.2799999999999998</v>
      </c>
      <c r="F605" s="19">
        <v>31.71</v>
      </c>
      <c r="G605" s="19">
        <v>17.329999999999998</v>
      </c>
      <c r="H605" s="20">
        <v>14.12</v>
      </c>
      <c r="I605" s="20">
        <v>38.979999999999997</v>
      </c>
      <c r="J605" s="20">
        <v>938.92</v>
      </c>
      <c r="K605" s="21">
        <v>960580.37999999989</v>
      </c>
      <c r="L605" s="2"/>
    </row>
    <row r="606" spans="1:12" x14ac:dyDescent="0.25">
      <c r="A606" s="58">
        <v>46078</v>
      </c>
      <c r="B606" s="18">
        <v>0.16666666666666666</v>
      </c>
      <c r="C606" s="19">
        <v>6</v>
      </c>
      <c r="D606" s="19">
        <v>70.22</v>
      </c>
      <c r="E606" s="19">
        <v>2.1</v>
      </c>
      <c r="F606" s="19">
        <v>32.380000000000003</v>
      </c>
      <c r="G606" s="19">
        <v>17.34</v>
      </c>
      <c r="H606" s="20">
        <v>14.13</v>
      </c>
      <c r="I606" s="20">
        <v>39.159999999999997</v>
      </c>
      <c r="J606" s="20">
        <v>938.87</v>
      </c>
      <c r="K606" s="21">
        <v>972185.98</v>
      </c>
      <c r="L606" s="2"/>
    </row>
    <row r="607" spans="1:12" x14ac:dyDescent="0.25">
      <c r="A607" s="58">
        <v>46078</v>
      </c>
      <c r="B607" s="18">
        <v>0.20833333333333334</v>
      </c>
      <c r="C607" s="19">
        <v>6.48</v>
      </c>
      <c r="D607" s="19">
        <v>70.36</v>
      </c>
      <c r="E607" s="19">
        <v>2.52</v>
      </c>
      <c r="F607" s="19">
        <v>27.41</v>
      </c>
      <c r="G607" s="19">
        <v>17.37</v>
      </c>
      <c r="H607" s="20">
        <v>14.13</v>
      </c>
      <c r="I607" s="20">
        <v>39.07</v>
      </c>
      <c r="J607" s="20">
        <v>938.9</v>
      </c>
      <c r="K607" s="21">
        <v>979886.37999999989</v>
      </c>
      <c r="L607" s="2"/>
    </row>
    <row r="608" spans="1:12" x14ac:dyDescent="0.25">
      <c r="A608" s="58">
        <v>46078</v>
      </c>
      <c r="B608" s="18">
        <v>0.25</v>
      </c>
      <c r="C608" s="19">
        <v>5.21</v>
      </c>
      <c r="D608" s="19">
        <v>72.92</v>
      </c>
      <c r="E608" s="19">
        <v>1.75</v>
      </c>
      <c r="F608" s="19">
        <v>5.63</v>
      </c>
      <c r="G608" s="19">
        <v>17.41</v>
      </c>
      <c r="H608" s="20">
        <v>14.11</v>
      </c>
      <c r="I608" s="20">
        <v>38.74</v>
      </c>
      <c r="J608" s="20">
        <v>938.83</v>
      </c>
      <c r="K608" s="21">
        <v>978161.55</v>
      </c>
      <c r="L608" s="2"/>
    </row>
    <row r="609" spans="1:12" x14ac:dyDescent="0.25">
      <c r="A609" s="58">
        <v>46078</v>
      </c>
      <c r="B609" s="18">
        <v>0.29166666666666669</v>
      </c>
      <c r="C609" s="19">
        <v>4.8</v>
      </c>
      <c r="D609" s="19">
        <v>72.55</v>
      </c>
      <c r="E609" s="19">
        <v>2.48</v>
      </c>
      <c r="F609" s="19">
        <v>1.74</v>
      </c>
      <c r="G609" s="19">
        <v>17.420000000000002</v>
      </c>
      <c r="H609" s="20">
        <v>14.09</v>
      </c>
      <c r="I609" s="20">
        <v>38.21</v>
      </c>
      <c r="J609" s="20">
        <v>939</v>
      </c>
      <c r="K609" s="21">
        <v>971883.15999999992</v>
      </c>
      <c r="L609" s="2"/>
    </row>
    <row r="610" spans="1:12" x14ac:dyDescent="0.25">
      <c r="A610" s="58">
        <v>46078</v>
      </c>
      <c r="B610" s="18">
        <v>0.33333333333333331</v>
      </c>
      <c r="C610" s="19">
        <v>3.92</v>
      </c>
      <c r="D610" s="19">
        <v>74.09</v>
      </c>
      <c r="E610" s="19">
        <v>2.35</v>
      </c>
      <c r="F610" s="19">
        <v>2.31</v>
      </c>
      <c r="G610" s="19">
        <v>17.43</v>
      </c>
      <c r="H610" s="20">
        <v>14.09</v>
      </c>
      <c r="I610" s="20">
        <v>38.299999999999997</v>
      </c>
      <c r="J610" s="20">
        <v>939.25</v>
      </c>
      <c r="K610" s="21">
        <v>977650.62000000011</v>
      </c>
      <c r="L610" s="2"/>
    </row>
    <row r="611" spans="1:12" x14ac:dyDescent="0.25">
      <c r="A611" s="58">
        <v>46078</v>
      </c>
      <c r="B611" s="18">
        <v>0.375</v>
      </c>
      <c r="C611" s="19">
        <v>4.24</v>
      </c>
      <c r="D611" s="19">
        <v>74.010000000000005</v>
      </c>
      <c r="E611" s="19">
        <v>2.69</v>
      </c>
      <c r="F611" s="19">
        <v>1.26</v>
      </c>
      <c r="G611" s="19">
        <v>17.43</v>
      </c>
      <c r="H611" s="20">
        <v>14.08</v>
      </c>
      <c r="I611" s="20">
        <v>38.200000000000003</v>
      </c>
      <c r="J611" s="20">
        <v>939.19</v>
      </c>
      <c r="K611" s="21">
        <v>978241.19</v>
      </c>
      <c r="L611" s="2"/>
    </row>
    <row r="612" spans="1:12" x14ac:dyDescent="0.25">
      <c r="A612" s="58">
        <v>46078</v>
      </c>
      <c r="B612" s="18">
        <v>0.41666666666666669</v>
      </c>
      <c r="C612" s="19">
        <v>5.13</v>
      </c>
      <c r="D612" s="19">
        <v>74.17</v>
      </c>
      <c r="E612" s="19">
        <v>2.04</v>
      </c>
      <c r="F612" s="19">
        <v>1.17</v>
      </c>
      <c r="G612" s="19">
        <v>17.440000000000001</v>
      </c>
      <c r="H612" s="20">
        <v>14.08</v>
      </c>
      <c r="I612" s="20">
        <v>38.07</v>
      </c>
      <c r="J612" s="20">
        <v>939.24</v>
      </c>
      <c r="K612" s="21">
        <v>981097.8899999999</v>
      </c>
      <c r="L612" s="2"/>
    </row>
    <row r="613" spans="1:12" x14ac:dyDescent="0.25">
      <c r="A613" s="58">
        <v>46078</v>
      </c>
      <c r="B613" s="18">
        <v>0.45833333333333331</v>
      </c>
      <c r="C613" s="19">
        <v>5.35</v>
      </c>
      <c r="D613" s="19">
        <v>74.59</v>
      </c>
      <c r="E613" s="19">
        <v>2.2599999999999998</v>
      </c>
      <c r="F613" s="19">
        <v>1.36</v>
      </c>
      <c r="G613" s="19">
        <v>17.45</v>
      </c>
      <c r="H613" s="20">
        <v>14.08</v>
      </c>
      <c r="I613" s="20">
        <v>38.14</v>
      </c>
      <c r="J613" s="20">
        <v>939.4</v>
      </c>
      <c r="K613" s="21">
        <v>974431.76</v>
      </c>
      <c r="L613" s="2"/>
    </row>
    <row r="614" spans="1:12" x14ac:dyDescent="0.25">
      <c r="A614" s="58">
        <v>46078</v>
      </c>
      <c r="B614" s="18">
        <v>0.5</v>
      </c>
      <c r="C614" s="19">
        <v>3.37</v>
      </c>
      <c r="D614" s="19">
        <v>74.08</v>
      </c>
      <c r="E614" s="19">
        <v>2.42</v>
      </c>
      <c r="F614" s="19">
        <v>2.91</v>
      </c>
      <c r="G614" s="19">
        <v>17.399999999999999</v>
      </c>
      <c r="H614" s="20">
        <v>14.09</v>
      </c>
      <c r="I614" s="20">
        <v>38.25</v>
      </c>
      <c r="J614" s="20">
        <v>938.88</v>
      </c>
      <c r="K614" s="21">
        <v>971262.59000000008</v>
      </c>
      <c r="L614" s="2"/>
    </row>
    <row r="615" spans="1:12" x14ac:dyDescent="0.25">
      <c r="A615" s="58">
        <v>46078</v>
      </c>
      <c r="B615" s="18">
        <v>0.54166666666666663</v>
      </c>
      <c r="C615" s="19">
        <v>5.18</v>
      </c>
      <c r="D615" s="19">
        <v>76.16</v>
      </c>
      <c r="E615" s="19">
        <v>2.29</v>
      </c>
      <c r="F615" s="19">
        <v>3.46</v>
      </c>
      <c r="G615" s="19">
        <v>17.36</v>
      </c>
      <c r="H615" s="20">
        <v>14.11</v>
      </c>
      <c r="I615" s="20">
        <v>38.590000000000003</v>
      </c>
      <c r="J615" s="20">
        <v>938.39</v>
      </c>
      <c r="K615" s="21">
        <v>963887.3</v>
      </c>
      <c r="L615" s="2"/>
    </row>
    <row r="616" spans="1:12" x14ac:dyDescent="0.25">
      <c r="A616" s="58">
        <v>46078</v>
      </c>
      <c r="B616" s="18">
        <v>0.58333333333333337</v>
      </c>
      <c r="C616" s="19">
        <v>4.96</v>
      </c>
      <c r="D616" s="19">
        <v>76.56</v>
      </c>
      <c r="E616" s="19">
        <v>2.1800000000000002</v>
      </c>
      <c r="F616" s="19">
        <v>2.62</v>
      </c>
      <c r="G616" s="19">
        <v>17.350000000000001</v>
      </c>
      <c r="H616" s="20">
        <v>14.13</v>
      </c>
      <c r="I616" s="20">
        <v>38.83</v>
      </c>
      <c r="J616" s="20">
        <v>937.94</v>
      </c>
      <c r="K616" s="21">
        <v>965339.45</v>
      </c>
      <c r="L616" s="2"/>
    </row>
    <row r="617" spans="1:12" x14ac:dyDescent="0.25">
      <c r="A617" s="58">
        <v>46078</v>
      </c>
      <c r="B617" s="18">
        <v>0.625</v>
      </c>
      <c r="C617" s="19">
        <v>6.01</v>
      </c>
      <c r="D617" s="19">
        <v>76.83</v>
      </c>
      <c r="E617" s="19">
        <v>2.09</v>
      </c>
      <c r="F617" s="19">
        <v>2.96</v>
      </c>
      <c r="G617" s="19">
        <v>17.329999999999998</v>
      </c>
      <c r="H617" s="20">
        <v>14.14</v>
      </c>
      <c r="I617" s="20">
        <v>39</v>
      </c>
      <c r="J617" s="20">
        <v>938.07</v>
      </c>
      <c r="K617" s="21">
        <v>976173.09000000008</v>
      </c>
      <c r="L617" s="2"/>
    </row>
    <row r="618" spans="1:12" x14ac:dyDescent="0.25">
      <c r="A618" s="58">
        <v>46078</v>
      </c>
      <c r="B618" s="18">
        <v>0.66666666666666663</v>
      </c>
      <c r="C618" s="19">
        <v>5.73</v>
      </c>
      <c r="D618" s="19">
        <v>77.06</v>
      </c>
      <c r="E618" s="19">
        <v>2.59</v>
      </c>
      <c r="F618" s="19">
        <v>4.1399999999999997</v>
      </c>
      <c r="G618" s="19">
        <v>17.36</v>
      </c>
      <c r="H618" s="20">
        <v>14.14</v>
      </c>
      <c r="I618" s="20">
        <v>38.950000000000003</v>
      </c>
      <c r="J618" s="20">
        <v>937.65</v>
      </c>
      <c r="K618" s="21">
        <v>972534.8600000001</v>
      </c>
      <c r="L618" s="2"/>
    </row>
    <row r="619" spans="1:12" x14ac:dyDescent="0.25">
      <c r="A619" s="58">
        <v>46078</v>
      </c>
      <c r="B619" s="18">
        <v>0.70833333333333337</v>
      </c>
      <c r="C619" s="19">
        <v>4.82</v>
      </c>
      <c r="D619" s="19">
        <v>76.86</v>
      </c>
      <c r="E619" s="19">
        <v>2.2000000000000002</v>
      </c>
      <c r="F619" s="19">
        <v>3.59</v>
      </c>
      <c r="G619" s="19">
        <v>17.36</v>
      </c>
      <c r="H619" s="20">
        <v>14.14</v>
      </c>
      <c r="I619" s="20">
        <v>38.93</v>
      </c>
      <c r="J619" s="20">
        <v>937.73</v>
      </c>
      <c r="K619" s="21">
        <v>979447.37000000011</v>
      </c>
      <c r="L619" s="2"/>
    </row>
    <row r="620" spans="1:12" x14ac:dyDescent="0.25">
      <c r="A620" s="58">
        <v>46078</v>
      </c>
      <c r="B620" s="18">
        <v>0.75</v>
      </c>
      <c r="C620" s="19">
        <v>4.7300000000000004</v>
      </c>
      <c r="D620" s="19">
        <v>76.459999999999994</v>
      </c>
      <c r="E620" s="19">
        <v>2.5099999999999998</v>
      </c>
      <c r="F620" s="19">
        <v>3.8</v>
      </c>
      <c r="G620" s="19">
        <v>17.350000000000001</v>
      </c>
      <c r="H620" s="20">
        <v>14.15</v>
      </c>
      <c r="I620" s="20">
        <v>38.89</v>
      </c>
      <c r="J620" s="20">
        <v>937.1</v>
      </c>
      <c r="K620" s="21">
        <v>980177.58000000007</v>
      </c>
      <c r="L620" s="2"/>
    </row>
    <row r="621" spans="1:12" x14ac:dyDescent="0.25">
      <c r="A621" s="58">
        <v>46078</v>
      </c>
      <c r="B621" s="18">
        <v>0.79166666666666663</v>
      </c>
      <c r="C621" s="19">
        <v>4.82</v>
      </c>
      <c r="D621" s="19">
        <v>75.98</v>
      </c>
      <c r="E621" s="19">
        <v>2.04</v>
      </c>
      <c r="F621" s="19">
        <v>3.78</v>
      </c>
      <c r="G621" s="19">
        <v>17.34</v>
      </c>
      <c r="H621" s="20">
        <v>14.16</v>
      </c>
      <c r="I621" s="20">
        <v>38.979999999999997</v>
      </c>
      <c r="J621" s="20">
        <v>936.52</v>
      </c>
      <c r="K621" s="21">
        <v>971773.03</v>
      </c>
      <c r="L621" s="2"/>
    </row>
    <row r="622" spans="1:12" x14ac:dyDescent="0.25">
      <c r="A622" s="58">
        <v>46078</v>
      </c>
      <c r="B622" s="18">
        <v>0.83333333333333337</v>
      </c>
      <c r="C622" s="19">
        <v>4.8</v>
      </c>
      <c r="D622" s="19">
        <v>76.91</v>
      </c>
      <c r="E622" s="19">
        <v>2.09</v>
      </c>
      <c r="F622" s="19">
        <v>5.82</v>
      </c>
      <c r="G622" s="19">
        <v>17.309999999999999</v>
      </c>
      <c r="H622" s="20">
        <v>14.18</v>
      </c>
      <c r="I622" s="20">
        <v>39.25</v>
      </c>
      <c r="J622" s="20">
        <v>936</v>
      </c>
      <c r="K622" s="21">
        <v>972356.73</v>
      </c>
      <c r="L622" s="2"/>
    </row>
    <row r="623" spans="1:12" x14ac:dyDescent="0.25">
      <c r="A623" s="58">
        <v>46078</v>
      </c>
      <c r="B623" s="18">
        <v>0.875</v>
      </c>
      <c r="C623" s="19">
        <v>5.18</v>
      </c>
      <c r="D623" s="19">
        <v>76.33</v>
      </c>
      <c r="E623" s="19">
        <v>2.37</v>
      </c>
      <c r="F623" s="19">
        <v>5.0599999999999996</v>
      </c>
      <c r="G623" s="19">
        <v>17.309999999999999</v>
      </c>
      <c r="H623" s="20">
        <v>14.19</v>
      </c>
      <c r="I623" s="20">
        <v>39.44</v>
      </c>
      <c r="J623" s="20">
        <v>936.02</v>
      </c>
      <c r="K623" s="21">
        <v>980449.76</v>
      </c>
      <c r="L623" s="2"/>
    </row>
    <row r="624" spans="1:12" x14ac:dyDescent="0.25">
      <c r="A624" s="58">
        <v>46078</v>
      </c>
      <c r="B624" s="18">
        <v>0.91666666666666663</v>
      </c>
      <c r="C624" s="19">
        <v>5.89</v>
      </c>
      <c r="D624" s="19">
        <v>75.459999999999994</v>
      </c>
      <c r="E624" s="19">
        <v>1.95</v>
      </c>
      <c r="F624" s="19">
        <v>7.83</v>
      </c>
      <c r="G624" s="19">
        <v>17.3</v>
      </c>
      <c r="H624" s="20">
        <v>14.19</v>
      </c>
      <c r="I624" s="20">
        <v>39.409999999999997</v>
      </c>
      <c r="J624" s="20">
        <v>935.82</v>
      </c>
      <c r="K624" s="21">
        <v>976178.66999999993</v>
      </c>
      <c r="L624" s="2"/>
    </row>
    <row r="625" spans="1:12" ht="15.75" thickBot="1" x14ac:dyDescent="0.3">
      <c r="A625" s="60">
        <v>46078</v>
      </c>
      <c r="B625" s="35">
        <v>0.95833333333333337</v>
      </c>
      <c r="C625" s="23">
        <v>5.23</v>
      </c>
      <c r="D625" s="23">
        <v>75.16</v>
      </c>
      <c r="E625" s="23">
        <v>2.29</v>
      </c>
      <c r="F625" s="23">
        <v>12.7</v>
      </c>
      <c r="G625" s="23">
        <v>17.28</v>
      </c>
      <c r="H625" s="24">
        <v>14.2</v>
      </c>
      <c r="I625" s="24">
        <v>39.54</v>
      </c>
      <c r="J625" s="24">
        <v>935.47</v>
      </c>
      <c r="K625" s="25">
        <v>981326.29</v>
      </c>
      <c r="L625" s="2"/>
    </row>
    <row r="626" spans="1:12" ht="15.75" thickBot="1" x14ac:dyDescent="0.3">
      <c r="A626" s="26" t="s">
        <v>69</v>
      </c>
      <c r="B626" s="44"/>
      <c r="C626" s="45">
        <f t="shared" ref="C626:K626" si="24">IFERROR(ROUND(AVERAGE(C602:C625), 2), "")</f>
        <v>5.01</v>
      </c>
      <c r="D626" s="45">
        <f t="shared" si="24"/>
        <v>74.12</v>
      </c>
      <c r="E626" s="45">
        <f t="shared" si="24"/>
        <v>2.2599999999999998</v>
      </c>
      <c r="F626" s="45">
        <f t="shared" si="24"/>
        <v>10.27</v>
      </c>
      <c r="G626" s="45">
        <f t="shared" si="24"/>
        <v>17.36</v>
      </c>
      <c r="H626" s="45">
        <f t="shared" si="24"/>
        <v>14.13</v>
      </c>
      <c r="I626" s="45">
        <f t="shared" si="24"/>
        <v>38.840000000000003</v>
      </c>
      <c r="J626" s="45">
        <f t="shared" si="24"/>
        <v>938.12</v>
      </c>
      <c r="K626" s="46">
        <f t="shared" si="24"/>
        <v>973012.89</v>
      </c>
      <c r="L626" s="7"/>
    </row>
    <row r="627" spans="1:12" x14ac:dyDescent="0.25">
      <c r="A627" s="57">
        <v>46079</v>
      </c>
      <c r="B627" s="14">
        <v>0</v>
      </c>
      <c r="C627" s="15">
        <v>5.28</v>
      </c>
      <c r="D627" s="15">
        <v>75</v>
      </c>
      <c r="E627" s="15">
        <v>2.4</v>
      </c>
      <c r="F627" s="15">
        <v>9.56</v>
      </c>
      <c r="G627" s="15">
        <v>17.239999999999998</v>
      </c>
      <c r="H627" s="16">
        <v>14.22</v>
      </c>
      <c r="I627" s="16">
        <v>39.76</v>
      </c>
      <c r="J627" s="16">
        <v>934.74</v>
      </c>
      <c r="K627" s="17">
        <v>974676.22</v>
      </c>
      <c r="L627" s="2"/>
    </row>
    <row r="628" spans="1:12" x14ac:dyDescent="0.25">
      <c r="A628" s="58">
        <v>46079</v>
      </c>
      <c r="B628" s="18">
        <v>4.1666666666666664E-2</v>
      </c>
      <c r="C628" s="19">
        <v>6.37</v>
      </c>
      <c r="D628" s="19">
        <v>75.97</v>
      </c>
      <c r="E628" s="19">
        <v>2.0299999999999998</v>
      </c>
      <c r="F628" s="19">
        <v>12.05</v>
      </c>
      <c r="G628" s="19">
        <v>17.25</v>
      </c>
      <c r="H628" s="20">
        <v>14.24</v>
      </c>
      <c r="I628" s="20">
        <v>40.01</v>
      </c>
      <c r="J628" s="20">
        <v>934.14</v>
      </c>
      <c r="K628" s="21">
        <v>981641.01</v>
      </c>
      <c r="L628" s="2"/>
    </row>
    <row r="629" spans="1:12" x14ac:dyDescent="0.25">
      <c r="A629" s="58">
        <v>46079</v>
      </c>
      <c r="B629" s="18">
        <v>8.3333333333333329E-2</v>
      </c>
      <c r="C629" s="19">
        <v>5.17</v>
      </c>
      <c r="D629" s="19">
        <v>73.900000000000006</v>
      </c>
      <c r="E629" s="19">
        <v>1.88</v>
      </c>
      <c r="F629" s="19">
        <v>12.44</v>
      </c>
      <c r="G629" s="19">
        <v>17.25</v>
      </c>
      <c r="H629" s="20">
        <v>14.26</v>
      </c>
      <c r="I629" s="20">
        <v>40.17</v>
      </c>
      <c r="J629" s="20">
        <v>933.65</v>
      </c>
      <c r="K629" s="21">
        <v>969081.31</v>
      </c>
      <c r="L629" s="2"/>
    </row>
    <row r="630" spans="1:12" x14ac:dyDescent="0.25">
      <c r="A630" s="58">
        <v>46079</v>
      </c>
      <c r="B630" s="18">
        <v>0.125</v>
      </c>
      <c r="C630" s="19">
        <v>6.29</v>
      </c>
      <c r="D630" s="19">
        <v>74.72</v>
      </c>
      <c r="E630" s="19">
        <v>2.02</v>
      </c>
      <c r="F630" s="19">
        <v>13.24</v>
      </c>
      <c r="G630" s="19">
        <v>17.22</v>
      </c>
      <c r="H630" s="20">
        <v>14.27</v>
      </c>
      <c r="I630" s="20">
        <v>40.33</v>
      </c>
      <c r="J630" s="20">
        <v>933.08</v>
      </c>
      <c r="K630" s="21">
        <v>964624.27</v>
      </c>
      <c r="L630" s="2"/>
    </row>
    <row r="631" spans="1:12" x14ac:dyDescent="0.25">
      <c r="A631" s="58">
        <v>46079</v>
      </c>
      <c r="B631" s="18">
        <v>0.16666666666666666</v>
      </c>
      <c r="C631" s="19">
        <v>5.04</v>
      </c>
      <c r="D631" s="19">
        <v>73.8</v>
      </c>
      <c r="E631" s="19">
        <v>2.42</v>
      </c>
      <c r="F631" s="19">
        <v>14.22</v>
      </c>
      <c r="G631" s="19">
        <v>17.23</v>
      </c>
      <c r="H631" s="20">
        <v>14.3</v>
      </c>
      <c r="I631" s="20">
        <v>40.64</v>
      </c>
      <c r="J631" s="20">
        <v>932.69</v>
      </c>
      <c r="K631" s="21">
        <v>963298.71</v>
      </c>
      <c r="L631" s="2"/>
    </row>
    <row r="632" spans="1:12" x14ac:dyDescent="0.25">
      <c r="A632" s="58">
        <v>46079</v>
      </c>
      <c r="B632" s="18">
        <v>0.20833333333333334</v>
      </c>
      <c r="C632" s="19">
        <v>5.67</v>
      </c>
      <c r="D632" s="19">
        <v>73.25</v>
      </c>
      <c r="E632" s="19">
        <v>2.0099999999999998</v>
      </c>
      <c r="F632" s="19">
        <v>21.58</v>
      </c>
      <c r="G632" s="19">
        <v>17.190000000000001</v>
      </c>
      <c r="H632" s="20">
        <v>14.32</v>
      </c>
      <c r="I632" s="20">
        <v>40.89</v>
      </c>
      <c r="J632" s="20">
        <v>932.25</v>
      </c>
      <c r="K632" s="21">
        <v>949576.89999999991</v>
      </c>
      <c r="L632" s="2"/>
    </row>
    <row r="633" spans="1:12" x14ac:dyDescent="0.25">
      <c r="A633" s="58">
        <v>46079</v>
      </c>
      <c r="B633" s="18">
        <v>0.25</v>
      </c>
      <c r="C633" s="19">
        <v>6.04</v>
      </c>
      <c r="D633" s="19">
        <v>72.88</v>
      </c>
      <c r="E633" s="19">
        <v>2.77</v>
      </c>
      <c r="F633" s="19">
        <v>35.71</v>
      </c>
      <c r="G633" s="19">
        <v>17.16</v>
      </c>
      <c r="H633" s="20">
        <v>14.33</v>
      </c>
      <c r="I633" s="20">
        <v>41.15</v>
      </c>
      <c r="J633" s="20">
        <v>931.9</v>
      </c>
      <c r="K633" s="21">
        <v>952094.3</v>
      </c>
      <c r="L633" s="2"/>
    </row>
    <row r="634" spans="1:12" x14ac:dyDescent="0.25">
      <c r="A634" s="58">
        <v>46079</v>
      </c>
      <c r="B634" s="18">
        <v>0.29166666666666669</v>
      </c>
      <c r="C634" s="19">
        <v>5.44</v>
      </c>
      <c r="D634" s="19">
        <v>73.09</v>
      </c>
      <c r="E634" s="19">
        <v>2.5099999999999998</v>
      </c>
      <c r="F634" s="19">
        <v>24.4</v>
      </c>
      <c r="G634" s="19">
        <v>17.149999999999999</v>
      </c>
      <c r="H634" s="20">
        <v>14.35</v>
      </c>
      <c r="I634" s="20">
        <v>41.51</v>
      </c>
      <c r="J634" s="20">
        <v>931.65</v>
      </c>
      <c r="K634" s="21">
        <v>952758.62999999989</v>
      </c>
      <c r="L634" s="2"/>
    </row>
    <row r="635" spans="1:12" x14ac:dyDescent="0.25">
      <c r="A635" s="58">
        <v>46079</v>
      </c>
      <c r="B635" s="18">
        <v>0.33333333333333331</v>
      </c>
      <c r="C635" s="19">
        <v>5.55</v>
      </c>
      <c r="D635" s="19">
        <v>72.650000000000006</v>
      </c>
      <c r="E635" s="19">
        <v>2.1</v>
      </c>
      <c r="F635" s="19">
        <v>20.100000000000001</v>
      </c>
      <c r="G635" s="19">
        <v>17.149999999999999</v>
      </c>
      <c r="H635" s="20">
        <v>14.37</v>
      </c>
      <c r="I635" s="20">
        <v>41.88</v>
      </c>
      <c r="J635" s="20">
        <v>931.52</v>
      </c>
      <c r="K635" s="21">
        <v>937363.94</v>
      </c>
      <c r="L635" s="2"/>
    </row>
    <row r="636" spans="1:12" x14ac:dyDescent="0.25">
      <c r="A636" s="58">
        <v>46079</v>
      </c>
      <c r="B636" s="18">
        <v>0.375</v>
      </c>
      <c r="C636" s="19">
        <v>3.22</v>
      </c>
      <c r="D636" s="19">
        <v>72.37</v>
      </c>
      <c r="E636" s="19">
        <v>2.66</v>
      </c>
      <c r="F636" s="19">
        <v>35.01</v>
      </c>
      <c r="G636" s="19">
        <v>17.12</v>
      </c>
      <c r="H636" s="20">
        <v>14.39</v>
      </c>
      <c r="I636" s="20">
        <v>42.18</v>
      </c>
      <c r="J636" s="20">
        <v>931.51</v>
      </c>
      <c r="K636" s="21">
        <v>930004.01</v>
      </c>
      <c r="L636" s="2"/>
    </row>
    <row r="637" spans="1:12" x14ac:dyDescent="0.25">
      <c r="A637" s="58">
        <v>46079</v>
      </c>
      <c r="B637" s="18">
        <v>0.41666666666666669</v>
      </c>
      <c r="C637" s="19">
        <v>6.57</v>
      </c>
      <c r="D637" s="19">
        <v>78.17</v>
      </c>
      <c r="E637" s="19">
        <v>1.93</v>
      </c>
      <c r="F637" s="19">
        <v>38.58</v>
      </c>
      <c r="G637" s="19">
        <v>17.78</v>
      </c>
      <c r="H637" s="20">
        <v>14.29</v>
      </c>
      <c r="I637" s="20">
        <v>39.979999999999997</v>
      </c>
      <c r="J637" s="20">
        <v>931.23</v>
      </c>
      <c r="K637" s="21">
        <v>858325.71</v>
      </c>
      <c r="L637" s="2"/>
    </row>
    <row r="638" spans="1:12" x14ac:dyDescent="0.25">
      <c r="A638" s="58">
        <v>46079</v>
      </c>
      <c r="B638" s="18">
        <v>0.45833333333333331</v>
      </c>
      <c r="C638" s="19">
        <v>14.41</v>
      </c>
      <c r="D638" s="19">
        <v>85.73</v>
      </c>
      <c r="E638" s="19">
        <v>2.72</v>
      </c>
      <c r="F638" s="19">
        <v>36.340000000000003</v>
      </c>
      <c r="G638" s="19">
        <v>18.16</v>
      </c>
      <c r="H638" s="20">
        <v>14.19</v>
      </c>
      <c r="I638" s="20">
        <v>37.46</v>
      </c>
      <c r="J638" s="20">
        <v>930.44</v>
      </c>
      <c r="K638" s="21">
        <v>857101.32000000007</v>
      </c>
      <c r="L638" s="2"/>
    </row>
    <row r="639" spans="1:12" x14ac:dyDescent="0.25">
      <c r="A639" s="58">
        <v>46079</v>
      </c>
      <c r="B639" s="18">
        <v>0.5</v>
      </c>
      <c r="C639" s="19">
        <v>12.25</v>
      </c>
      <c r="D639" s="19">
        <v>90.36</v>
      </c>
      <c r="E639" s="19">
        <v>2.86</v>
      </c>
      <c r="F639" s="19">
        <v>34.06</v>
      </c>
      <c r="G639" s="19">
        <v>17.93</v>
      </c>
      <c r="H639" s="20">
        <v>14.21</v>
      </c>
      <c r="I639" s="20">
        <v>37.69</v>
      </c>
      <c r="J639" s="20">
        <v>929.34</v>
      </c>
      <c r="K639" s="21">
        <v>871891.6100000001</v>
      </c>
      <c r="L639" s="2"/>
    </row>
    <row r="640" spans="1:12" x14ac:dyDescent="0.25">
      <c r="A640" s="58">
        <v>46079</v>
      </c>
      <c r="B640" s="18">
        <v>0.54166666666666663</v>
      </c>
      <c r="C640" s="19">
        <v>26.83</v>
      </c>
      <c r="D640" s="19">
        <v>92.63</v>
      </c>
      <c r="E640" s="19">
        <v>2.98</v>
      </c>
      <c r="F640" s="19">
        <v>33.17</v>
      </c>
      <c r="G640" s="19">
        <v>17.39</v>
      </c>
      <c r="H640" s="20">
        <v>14.35</v>
      </c>
      <c r="I640" s="20">
        <v>40.299999999999997</v>
      </c>
      <c r="J640" s="20">
        <v>928.27</v>
      </c>
      <c r="K640" s="21">
        <v>944907.3</v>
      </c>
      <c r="L640" s="2"/>
    </row>
    <row r="641" spans="1:12" x14ac:dyDescent="0.25">
      <c r="A641" s="58">
        <v>46079</v>
      </c>
      <c r="B641" s="18">
        <v>0.58333333333333337</v>
      </c>
      <c r="C641" s="19">
        <v>31.78</v>
      </c>
      <c r="D641" s="19">
        <v>96.5</v>
      </c>
      <c r="E641" s="19">
        <v>2.27</v>
      </c>
      <c r="F641" s="19">
        <v>38.549999999999997</v>
      </c>
      <c r="G641" s="19">
        <v>17.22</v>
      </c>
      <c r="H641" s="20">
        <v>14.44</v>
      </c>
      <c r="I641" s="20">
        <v>42.16</v>
      </c>
      <c r="J641" s="20">
        <v>927.97</v>
      </c>
      <c r="K641" s="21">
        <v>954191.62000000011</v>
      </c>
      <c r="L641" s="2"/>
    </row>
    <row r="642" spans="1:12" x14ac:dyDescent="0.25">
      <c r="A642" s="58">
        <v>46079</v>
      </c>
      <c r="B642" s="18">
        <v>0.625</v>
      </c>
      <c r="C642" s="19">
        <v>6.93</v>
      </c>
      <c r="D642" s="19">
        <v>97.17</v>
      </c>
      <c r="E642" s="19">
        <v>2.36</v>
      </c>
      <c r="F642" s="19">
        <v>35.340000000000003</v>
      </c>
      <c r="G642" s="19">
        <v>17.100000000000001</v>
      </c>
      <c r="H642" s="20">
        <v>14.58</v>
      </c>
      <c r="I642" s="20">
        <v>45.23</v>
      </c>
      <c r="J642" s="20">
        <v>927.72</v>
      </c>
      <c r="K642" s="21">
        <v>976590.59000000008</v>
      </c>
      <c r="L642" s="2"/>
    </row>
    <row r="643" spans="1:12" x14ac:dyDescent="0.25">
      <c r="A643" s="58">
        <v>46079</v>
      </c>
      <c r="B643" s="18">
        <v>0.66666666666666663</v>
      </c>
      <c r="C643" s="19">
        <v>26.65</v>
      </c>
      <c r="D643" s="19">
        <v>92.58</v>
      </c>
      <c r="E643" s="19">
        <v>2.39</v>
      </c>
      <c r="F643" s="19">
        <v>32.11</v>
      </c>
      <c r="G643" s="19">
        <v>18.61</v>
      </c>
      <c r="H643" s="20">
        <v>14.4</v>
      </c>
      <c r="I643" s="20">
        <v>41.3</v>
      </c>
      <c r="J643" s="20">
        <v>927.86</v>
      </c>
      <c r="K643" s="21">
        <v>717973.52</v>
      </c>
      <c r="L643" s="2"/>
    </row>
    <row r="644" spans="1:12" x14ac:dyDescent="0.25">
      <c r="A644" s="58">
        <v>46079</v>
      </c>
      <c r="B644" s="18">
        <v>0.70833333333333337</v>
      </c>
      <c r="C644" s="19"/>
      <c r="D644" s="19"/>
      <c r="E644" s="19"/>
      <c r="F644" s="19"/>
      <c r="G644" s="19"/>
      <c r="H644" s="20"/>
      <c r="I644" s="20"/>
      <c r="J644" s="20"/>
      <c r="K644" s="21"/>
      <c r="L644" s="2"/>
    </row>
    <row r="645" spans="1:12" x14ac:dyDescent="0.25">
      <c r="A645" s="58">
        <v>46079</v>
      </c>
      <c r="B645" s="18">
        <v>0.75</v>
      </c>
      <c r="C645" s="19"/>
      <c r="D645" s="19"/>
      <c r="E645" s="19"/>
      <c r="F645" s="19"/>
      <c r="G645" s="19"/>
      <c r="H645" s="20"/>
      <c r="I645" s="20"/>
      <c r="J645" s="20"/>
      <c r="K645" s="21"/>
      <c r="L645" s="2"/>
    </row>
    <row r="646" spans="1:12" x14ac:dyDescent="0.25">
      <c r="A646" s="58">
        <v>46079</v>
      </c>
      <c r="B646" s="18">
        <v>0.79166666666666663</v>
      </c>
      <c r="C646" s="19">
        <v>21.18</v>
      </c>
      <c r="D646" s="19">
        <v>89.99</v>
      </c>
      <c r="E646" s="19">
        <v>3.66</v>
      </c>
      <c r="F646" s="19">
        <v>34.840000000000003</v>
      </c>
      <c r="G646" s="19">
        <v>19.79</v>
      </c>
      <c r="H646" s="20">
        <v>13.83</v>
      </c>
      <c r="I646" s="20">
        <v>28.57</v>
      </c>
      <c r="J646" s="20">
        <v>926.86</v>
      </c>
      <c r="K646" s="21">
        <v>689018.1</v>
      </c>
      <c r="L646" s="2"/>
    </row>
    <row r="647" spans="1:12" x14ac:dyDescent="0.25">
      <c r="A647" s="58">
        <v>46079</v>
      </c>
      <c r="B647" s="18">
        <v>0.83333333333333337</v>
      </c>
      <c r="C647" s="19">
        <v>5.59</v>
      </c>
      <c r="D647" s="19">
        <v>68.28</v>
      </c>
      <c r="E647" s="19">
        <v>2.71</v>
      </c>
      <c r="F647" s="19">
        <v>12.43</v>
      </c>
      <c r="G647" s="19">
        <v>19.489999999999998</v>
      </c>
      <c r="H647" s="20">
        <v>14.01</v>
      </c>
      <c r="I647" s="20">
        <v>32.659999999999997</v>
      </c>
      <c r="J647" s="20">
        <v>927.06</v>
      </c>
      <c r="K647" s="21">
        <v>678929.52</v>
      </c>
      <c r="L647" s="2"/>
    </row>
    <row r="648" spans="1:12" x14ac:dyDescent="0.25">
      <c r="A648" s="58">
        <v>46079</v>
      </c>
      <c r="B648" s="18">
        <v>0.875</v>
      </c>
      <c r="C648" s="19">
        <v>8.4</v>
      </c>
      <c r="D648" s="19">
        <v>65.22</v>
      </c>
      <c r="E648" s="19">
        <v>2.74</v>
      </c>
      <c r="F648" s="19">
        <v>31.93</v>
      </c>
      <c r="G648" s="19">
        <v>18.62</v>
      </c>
      <c r="H648" s="20">
        <v>14.14</v>
      </c>
      <c r="I648" s="20">
        <v>35.26</v>
      </c>
      <c r="J648" s="20">
        <v>926.66</v>
      </c>
      <c r="K648" s="21">
        <v>709162.09000000008</v>
      </c>
      <c r="L648" s="2"/>
    </row>
    <row r="649" spans="1:12" x14ac:dyDescent="0.25">
      <c r="A649" s="58">
        <v>46079</v>
      </c>
      <c r="B649" s="18">
        <v>0.91666666666666663</v>
      </c>
      <c r="C649" s="19">
        <v>4.04</v>
      </c>
      <c r="D649" s="19">
        <v>86.1</v>
      </c>
      <c r="E649" s="19">
        <v>2.71</v>
      </c>
      <c r="F649" s="19">
        <v>33.49</v>
      </c>
      <c r="G649" s="19">
        <v>18.43</v>
      </c>
      <c r="H649" s="20">
        <v>14.22</v>
      </c>
      <c r="I649" s="20">
        <v>36.89</v>
      </c>
      <c r="J649" s="20">
        <v>926.29</v>
      </c>
      <c r="K649" s="21">
        <v>740195.17999999993</v>
      </c>
      <c r="L649" s="2"/>
    </row>
    <row r="650" spans="1:12" ht="15.75" thickBot="1" x14ac:dyDescent="0.3">
      <c r="A650" s="60">
        <v>46079</v>
      </c>
      <c r="B650" s="35">
        <v>0.95833333333333337</v>
      </c>
      <c r="C650" s="23">
        <v>6.61</v>
      </c>
      <c r="D650" s="23">
        <v>93.21</v>
      </c>
      <c r="E650" s="23">
        <v>2.31</v>
      </c>
      <c r="F650" s="23">
        <v>35.99</v>
      </c>
      <c r="G650" s="23">
        <v>18.48</v>
      </c>
      <c r="H650" s="24">
        <v>14.08</v>
      </c>
      <c r="I650" s="24">
        <v>37.24</v>
      </c>
      <c r="J650" s="24">
        <v>926.29</v>
      </c>
      <c r="K650" s="25">
        <v>790405.40999999992</v>
      </c>
      <c r="L650" s="2"/>
    </row>
    <row r="651" spans="1:12" ht="15.75" thickBot="1" x14ac:dyDescent="0.3">
      <c r="A651" s="26" t="s">
        <v>70</v>
      </c>
      <c r="B651" s="44"/>
      <c r="C651" s="45">
        <f t="shared" ref="C651:K651" si="25">IFERROR(ROUND(AVERAGE(C627:C650), 2), "")</f>
        <v>10.24</v>
      </c>
      <c r="D651" s="45">
        <f t="shared" si="25"/>
        <v>80.62</v>
      </c>
      <c r="E651" s="45">
        <f t="shared" si="25"/>
        <v>2.4700000000000002</v>
      </c>
      <c r="F651" s="45">
        <f t="shared" si="25"/>
        <v>27.05</v>
      </c>
      <c r="G651" s="45">
        <f t="shared" si="25"/>
        <v>17.77</v>
      </c>
      <c r="H651" s="45">
        <f t="shared" si="25"/>
        <v>14.26</v>
      </c>
      <c r="I651" s="45">
        <f t="shared" si="25"/>
        <v>39.24</v>
      </c>
      <c r="J651" s="45">
        <f t="shared" si="25"/>
        <v>930.14</v>
      </c>
      <c r="K651" s="46">
        <f t="shared" si="25"/>
        <v>880173.24</v>
      </c>
      <c r="L651" s="7"/>
    </row>
    <row r="652" spans="1:12" x14ac:dyDescent="0.25">
      <c r="A652" s="57">
        <v>46080</v>
      </c>
      <c r="B652" s="14">
        <v>0</v>
      </c>
      <c r="C652" s="15">
        <v>5.04</v>
      </c>
      <c r="D652" s="15">
        <v>88.41</v>
      </c>
      <c r="E652" s="15">
        <v>1.99</v>
      </c>
      <c r="F652" s="15">
        <v>17.309999999999999</v>
      </c>
      <c r="G652" s="15">
        <v>18.34</v>
      </c>
      <c r="H652" s="16">
        <v>14.2</v>
      </c>
      <c r="I652" s="16">
        <v>36.799999999999997</v>
      </c>
      <c r="J652" s="16">
        <v>926.75</v>
      </c>
      <c r="K652" s="17">
        <v>745329.79</v>
      </c>
      <c r="L652" s="2"/>
    </row>
    <row r="653" spans="1:12" x14ac:dyDescent="0.25">
      <c r="A653" s="58">
        <v>46080</v>
      </c>
      <c r="B653" s="18">
        <v>4.1666666666666664E-2</v>
      </c>
      <c r="C653" s="19">
        <v>7.11</v>
      </c>
      <c r="D653" s="19">
        <v>70.84</v>
      </c>
      <c r="E653" s="19">
        <v>1.97</v>
      </c>
      <c r="F653" s="19">
        <v>33.17</v>
      </c>
      <c r="G653" s="19">
        <v>17.64</v>
      </c>
      <c r="H653" s="20">
        <v>14.33</v>
      </c>
      <c r="I653" s="20">
        <v>39.270000000000003</v>
      </c>
      <c r="J653" s="20">
        <v>926.18</v>
      </c>
      <c r="K653" s="21">
        <v>810892.98</v>
      </c>
      <c r="L653" s="2"/>
    </row>
    <row r="654" spans="1:12" x14ac:dyDescent="0.25">
      <c r="A654" s="58">
        <v>46080</v>
      </c>
      <c r="B654" s="18">
        <v>8.3333333333333329E-2</v>
      </c>
      <c r="C654" s="19">
        <v>7.37</v>
      </c>
      <c r="D654" s="19">
        <v>73.47</v>
      </c>
      <c r="E654" s="19">
        <v>2.11</v>
      </c>
      <c r="F654" s="19">
        <v>35.520000000000003</v>
      </c>
      <c r="G654" s="19">
        <v>17.260000000000002</v>
      </c>
      <c r="H654" s="20">
        <v>14.45</v>
      </c>
      <c r="I654" s="20">
        <v>41.88</v>
      </c>
      <c r="J654" s="20">
        <v>925.7</v>
      </c>
      <c r="K654" s="21">
        <v>943124.37999999989</v>
      </c>
      <c r="L654" s="2"/>
    </row>
    <row r="655" spans="1:12" x14ac:dyDescent="0.25">
      <c r="A655" s="58">
        <v>46080</v>
      </c>
      <c r="B655" s="18">
        <v>0.125</v>
      </c>
      <c r="C655" s="19">
        <v>5.7</v>
      </c>
      <c r="D655" s="19">
        <v>84.31</v>
      </c>
      <c r="E655" s="19">
        <v>2.29</v>
      </c>
      <c r="F655" s="19">
        <v>24.42</v>
      </c>
      <c r="G655" s="19">
        <v>17.39</v>
      </c>
      <c r="H655" s="20">
        <v>14.5</v>
      </c>
      <c r="I655" s="20">
        <v>42.76</v>
      </c>
      <c r="J655" s="20">
        <v>925.39</v>
      </c>
      <c r="K655" s="21">
        <v>945502.24</v>
      </c>
      <c r="L655" s="2"/>
    </row>
    <row r="656" spans="1:12" x14ac:dyDescent="0.25">
      <c r="A656" s="58">
        <v>46080</v>
      </c>
      <c r="B656" s="18">
        <v>0.16666666666666666</v>
      </c>
      <c r="C656" s="19">
        <v>6.87</v>
      </c>
      <c r="D656" s="19">
        <v>74.12</v>
      </c>
      <c r="E656" s="19">
        <v>2.59</v>
      </c>
      <c r="F656" s="19">
        <v>37.32</v>
      </c>
      <c r="G656" s="19">
        <v>17.329999999999998</v>
      </c>
      <c r="H656" s="20">
        <v>14.5</v>
      </c>
      <c r="I656" s="20">
        <v>42.78</v>
      </c>
      <c r="J656" s="20">
        <v>925.56</v>
      </c>
      <c r="K656" s="21">
        <v>935433.51</v>
      </c>
      <c r="L656" s="2"/>
    </row>
    <row r="657" spans="1:12" x14ac:dyDescent="0.25">
      <c r="A657" s="58">
        <v>46080</v>
      </c>
      <c r="B657" s="18">
        <v>0.20833333333333334</v>
      </c>
      <c r="C657" s="19">
        <v>7.38</v>
      </c>
      <c r="D657" s="19">
        <v>70.13</v>
      </c>
      <c r="E657" s="19">
        <v>2.5</v>
      </c>
      <c r="F657" s="19">
        <v>34.909999999999997</v>
      </c>
      <c r="G657" s="19">
        <v>17.059999999999999</v>
      </c>
      <c r="H657" s="20">
        <v>14.55</v>
      </c>
      <c r="I657" s="20">
        <v>43.87</v>
      </c>
      <c r="J657" s="20">
        <v>925.53</v>
      </c>
      <c r="K657" s="21">
        <v>978968.46</v>
      </c>
      <c r="L657" s="2"/>
    </row>
    <row r="658" spans="1:12" x14ac:dyDescent="0.25">
      <c r="A658" s="58">
        <v>46080</v>
      </c>
      <c r="B658" s="18">
        <v>0.25</v>
      </c>
      <c r="C658" s="19">
        <v>3.94</v>
      </c>
      <c r="D658" s="19">
        <v>81.23</v>
      </c>
      <c r="E658" s="19">
        <v>2.57</v>
      </c>
      <c r="F658" s="19">
        <v>30.05</v>
      </c>
      <c r="G658" s="19">
        <v>17.14</v>
      </c>
      <c r="H658" s="20">
        <v>14.56</v>
      </c>
      <c r="I658" s="20">
        <v>44.11</v>
      </c>
      <c r="J658" s="20">
        <v>925.45</v>
      </c>
      <c r="K658" s="21">
        <v>989862.95</v>
      </c>
      <c r="L658" s="2"/>
    </row>
    <row r="659" spans="1:12" x14ac:dyDescent="0.25">
      <c r="A659" s="58">
        <v>46080</v>
      </c>
      <c r="B659" s="18">
        <v>0.29166666666666669</v>
      </c>
      <c r="C659" s="19">
        <v>4.8499999999999996</v>
      </c>
      <c r="D659" s="19">
        <v>84.48</v>
      </c>
      <c r="E659" s="19">
        <v>2.93</v>
      </c>
      <c r="F659" s="19">
        <v>34.57</v>
      </c>
      <c r="G659" s="19">
        <v>17.18</v>
      </c>
      <c r="H659" s="20">
        <v>14.56</v>
      </c>
      <c r="I659" s="20">
        <v>44.12</v>
      </c>
      <c r="J659" s="20">
        <v>925.49</v>
      </c>
      <c r="K659" s="21">
        <v>1006352.9099999999</v>
      </c>
      <c r="L659" s="2"/>
    </row>
    <row r="660" spans="1:12" x14ac:dyDescent="0.25">
      <c r="A660" s="58">
        <v>46080</v>
      </c>
      <c r="B660" s="18">
        <v>0.33333333333333331</v>
      </c>
      <c r="C660" s="19">
        <v>6.34</v>
      </c>
      <c r="D660" s="19">
        <v>81.150000000000006</v>
      </c>
      <c r="E660" s="19">
        <v>2.64</v>
      </c>
      <c r="F660" s="19">
        <v>35.68</v>
      </c>
      <c r="G660" s="19">
        <v>17.149999999999999</v>
      </c>
      <c r="H660" s="20">
        <v>14.55</v>
      </c>
      <c r="I660" s="20">
        <v>44.07</v>
      </c>
      <c r="J660" s="20">
        <v>925.88</v>
      </c>
      <c r="K660" s="21">
        <v>1007119.21</v>
      </c>
      <c r="L660" s="2"/>
    </row>
    <row r="661" spans="1:12" x14ac:dyDescent="0.25">
      <c r="A661" s="58">
        <v>46080</v>
      </c>
      <c r="B661" s="18">
        <v>0.375</v>
      </c>
      <c r="C661" s="19">
        <v>4.8499999999999996</v>
      </c>
      <c r="D661" s="19">
        <v>79.44</v>
      </c>
      <c r="E661" s="19">
        <v>2.92</v>
      </c>
      <c r="F661" s="19">
        <v>31.37</v>
      </c>
      <c r="G661" s="19">
        <v>17.14</v>
      </c>
      <c r="H661" s="20">
        <v>14.54</v>
      </c>
      <c r="I661" s="20">
        <v>43.85</v>
      </c>
      <c r="J661" s="20">
        <v>926.31</v>
      </c>
      <c r="K661" s="21">
        <v>1011423.1299999999</v>
      </c>
      <c r="L661" s="2"/>
    </row>
    <row r="662" spans="1:12" x14ac:dyDescent="0.25">
      <c r="A662" s="58">
        <v>46080</v>
      </c>
      <c r="B662" s="18">
        <v>0.41666666666666669</v>
      </c>
      <c r="C662" s="19">
        <v>3.79</v>
      </c>
      <c r="D662" s="19">
        <v>78.739999999999995</v>
      </c>
      <c r="E662" s="19">
        <v>2.5099999999999998</v>
      </c>
      <c r="F662" s="19">
        <v>37.99</v>
      </c>
      <c r="G662" s="19">
        <v>17.12</v>
      </c>
      <c r="H662" s="20">
        <v>14.52</v>
      </c>
      <c r="I662" s="20">
        <v>43.64</v>
      </c>
      <c r="J662" s="20">
        <v>926.75</v>
      </c>
      <c r="K662" s="21">
        <v>1013659.53</v>
      </c>
      <c r="L662" s="2"/>
    </row>
    <row r="663" spans="1:12" x14ac:dyDescent="0.25">
      <c r="A663" s="58">
        <v>46080</v>
      </c>
      <c r="B663" s="18">
        <v>0.45833333333333331</v>
      </c>
      <c r="C663" s="19">
        <v>5.04</v>
      </c>
      <c r="D663" s="19">
        <v>78.290000000000006</v>
      </c>
      <c r="E663" s="19">
        <v>1.93</v>
      </c>
      <c r="F663" s="19">
        <v>32.380000000000003</v>
      </c>
      <c r="G663" s="19">
        <v>17.14</v>
      </c>
      <c r="H663" s="20">
        <v>14.52</v>
      </c>
      <c r="I663" s="20">
        <v>43.58</v>
      </c>
      <c r="J663" s="20">
        <v>926.66</v>
      </c>
      <c r="K663" s="21">
        <v>1019953.24</v>
      </c>
      <c r="L663" s="2"/>
    </row>
    <row r="664" spans="1:12" x14ac:dyDescent="0.25">
      <c r="A664" s="58">
        <v>46080</v>
      </c>
      <c r="B664" s="18">
        <v>0.5</v>
      </c>
      <c r="C664" s="19">
        <v>4.34</v>
      </c>
      <c r="D664" s="19">
        <v>77.959999999999994</v>
      </c>
      <c r="E664" s="19">
        <v>2.1800000000000002</v>
      </c>
      <c r="F664" s="19">
        <v>35.82</v>
      </c>
      <c r="G664" s="19">
        <v>17.149999999999999</v>
      </c>
      <c r="H664" s="20">
        <v>14.52</v>
      </c>
      <c r="I664" s="20">
        <v>43.5</v>
      </c>
      <c r="J664" s="20">
        <v>926.59</v>
      </c>
      <c r="K664" s="21">
        <v>1019975.8999999999</v>
      </c>
      <c r="L664" s="2"/>
    </row>
    <row r="665" spans="1:12" x14ac:dyDescent="0.25">
      <c r="A665" s="58">
        <v>46080</v>
      </c>
      <c r="B665" s="18">
        <v>0.54166666666666663</v>
      </c>
      <c r="C665" s="19">
        <v>4.63</v>
      </c>
      <c r="D665" s="19">
        <v>78.62</v>
      </c>
      <c r="E665" s="19">
        <v>2.42</v>
      </c>
      <c r="F665" s="19">
        <v>36.67</v>
      </c>
      <c r="G665" s="19">
        <v>17.16</v>
      </c>
      <c r="H665" s="20">
        <v>14.51</v>
      </c>
      <c r="I665" s="20">
        <v>43.4</v>
      </c>
      <c r="J665" s="20">
        <v>926.78</v>
      </c>
      <c r="K665" s="21">
        <v>1023080.05</v>
      </c>
      <c r="L665" s="2"/>
    </row>
    <row r="666" spans="1:12" x14ac:dyDescent="0.25">
      <c r="A666" s="58">
        <v>46080</v>
      </c>
      <c r="B666" s="18">
        <v>0.58333333333333337</v>
      </c>
      <c r="C666" s="19">
        <v>5.33</v>
      </c>
      <c r="D666" s="19">
        <v>77.349999999999994</v>
      </c>
      <c r="E666" s="19">
        <v>2.23</v>
      </c>
      <c r="F666" s="19">
        <v>35.9</v>
      </c>
      <c r="G666" s="19">
        <v>17.16</v>
      </c>
      <c r="H666" s="20">
        <v>14.51</v>
      </c>
      <c r="I666" s="20">
        <v>43.45</v>
      </c>
      <c r="J666" s="20">
        <v>927.2</v>
      </c>
      <c r="K666" s="21">
        <v>1032649.1799999999</v>
      </c>
      <c r="L666" s="2"/>
    </row>
    <row r="667" spans="1:12" x14ac:dyDescent="0.25">
      <c r="A667" s="58">
        <v>46080</v>
      </c>
      <c r="B667" s="18">
        <v>0.625</v>
      </c>
      <c r="C667" s="19">
        <v>4.42</v>
      </c>
      <c r="D667" s="19">
        <v>75.66</v>
      </c>
      <c r="E667" s="19">
        <v>2.72</v>
      </c>
      <c r="F667" s="19">
        <v>25.3</v>
      </c>
      <c r="G667" s="19">
        <v>17.13</v>
      </c>
      <c r="H667" s="20">
        <v>14.5</v>
      </c>
      <c r="I667" s="20">
        <v>43.56</v>
      </c>
      <c r="J667" s="20">
        <v>927.69</v>
      </c>
      <c r="K667" s="21">
        <v>1037810.8999999999</v>
      </c>
      <c r="L667" s="2"/>
    </row>
    <row r="668" spans="1:12" x14ac:dyDescent="0.25">
      <c r="A668" s="58">
        <v>46080</v>
      </c>
      <c r="B668" s="18">
        <v>0.66666666666666663</v>
      </c>
      <c r="C668" s="19">
        <v>2.25</v>
      </c>
      <c r="D668" s="19">
        <v>74.569999999999993</v>
      </c>
      <c r="E668" s="19">
        <v>2.68</v>
      </c>
      <c r="F668" s="19">
        <v>24.12</v>
      </c>
      <c r="G668" s="19">
        <v>17.13</v>
      </c>
      <c r="H668" s="20">
        <v>14.5</v>
      </c>
      <c r="I668" s="20">
        <v>43.66</v>
      </c>
      <c r="J668" s="20">
        <v>928.13</v>
      </c>
      <c r="K668" s="21">
        <v>1028302.47</v>
      </c>
      <c r="L668" s="2"/>
    </row>
    <row r="669" spans="1:12" x14ac:dyDescent="0.25">
      <c r="A669" s="58">
        <v>46080</v>
      </c>
      <c r="B669" s="18">
        <v>0.70833333333333337</v>
      </c>
      <c r="C669" s="19">
        <v>3.56</v>
      </c>
      <c r="D669" s="19">
        <v>74.63</v>
      </c>
      <c r="E669" s="19">
        <v>2.89</v>
      </c>
      <c r="F669" s="19">
        <v>24.13</v>
      </c>
      <c r="G669" s="19">
        <v>17.13</v>
      </c>
      <c r="H669" s="20">
        <v>14.5</v>
      </c>
      <c r="I669" s="20">
        <v>43.77</v>
      </c>
      <c r="J669" s="20">
        <v>928.49</v>
      </c>
      <c r="K669" s="21">
        <v>1033776.8500000001</v>
      </c>
      <c r="L669" s="2"/>
    </row>
    <row r="670" spans="1:12" x14ac:dyDescent="0.25">
      <c r="A670" s="58">
        <v>46080</v>
      </c>
      <c r="B670" s="18">
        <v>0.75</v>
      </c>
      <c r="C670" s="19">
        <v>3.34</v>
      </c>
      <c r="D670" s="19">
        <v>74.069999999999993</v>
      </c>
      <c r="E670" s="19">
        <v>2.61</v>
      </c>
      <c r="F670" s="19">
        <v>21.05</v>
      </c>
      <c r="G670" s="19">
        <v>17.13</v>
      </c>
      <c r="H670" s="20">
        <v>14.5</v>
      </c>
      <c r="I670" s="20">
        <v>43.92</v>
      </c>
      <c r="J670" s="20">
        <v>929.16</v>
      </c>
      <c r="K670" s="21">
        <v>1028812.8500000001</v>
      </c>
      <c r="L670" s="2"/>
    </row>
    <row r="671" spans="1:12" x14ac:dyDescent="0.25">
      <c r="A671" s="58">
        <v>46080</v>
      </c>
      <c r="B671" s="18">
        <v>0.79166666666666663</v>
      </c>
      <c r="C671" s="19">
        <v>2.4500000000000002</v>
      </c>
      <c r="D671" s="19">
        <v>74.47</v>
      </c>
      <c r="E671" s="19">
        <v>2.2999999999999998</v>
      </c>
      <c r="F671" s="19">
        <v>25.66</v>
      </c>
      <c r="G671" s="19">
        <v>17.12</v>
      </c>
      <c r="H671" s="20">
        <v>14.5</v>
      </c>
      <c r="I671" s="20">
        <v>44.02</v>
      </c>
      <c r="J671" s="20">
        <v>929.65</v>
      </c>
      <c r="K671" s="21">
        <v>1034260.8</v>
      </c>
      <c r="L671" s="2"/>
    </row>
    <row r="672" spans="1:12" x14ac:dyDescent="0.25">
      <c r="A672" s="58">
        <v>46080</v>
      </c>
      <c r="B672" s="18">
        <v>0.83333333333333337</v>
      </c>
      <c r="C672" s="19">
        <v>5.27</v>
      </c>
      <c r="D672" s="19">
        <v>74.44</v>
      </c>
      <c r="E672" s="19">
        <v>2.0099999999999998</v>
      </c>
      <c r="F672" s="19">
        <v>31.31</v>
      </c>
      <c r="G672" s="19">
        <v>17.149999999999999</v>
      </c>
      <c r="H672" s="20">
        <v>14.49</v>
      </c>
      <c r="I672" s="20">
        <v>43.9</v>
      </c>
      <c r="J672" s="20">
        <v>929.75</v>
      </c>
      <c r="K672" s="21">
        <v>1026984.6699999999</v>
      </c>
      <c r="L672" s="2"/>
    </row>
    <row r="673" spans="1:12" x14ac:dyDescent="0.25">
      <c r="A673" s="58">
        <v>46080</v>
      </c>
      <c r="B673" s="18">
        <v>0.875</v>
      </c>
      <c r="C673" s="19">
        <v>6.02</v>
      </c>
      <c r="D673" s="19">
        <v>74.819999999999993</v>
      </c>
      <c r="E673" s="19">
        <v>1.79</v>
      </c>
      <c r="F673" s="19">
        <v>24.47</v>
      </c>
      <c r="G673" s="19">
        <v>17.170000000000002</v>
      </c>
      <c r="H673" s="20">
        <v>14.49</v>
      </c>
      <c r="I673" s="20">
        <v>43.89</v>
      </c>
      <c r="J673" s="20">
        <v>930.14</v>
      </c>
      <c r="K673" s="21">
        <v>1044055.78</v>
      </c>
      <c r="L673" s="2"/>
    </row>
    <row r="674" spans="1:12" x14ac:dyDescent="0.25">
      <c r="A674" s="58">
        <v>46080</v>
      </c>
      <c r="B674" s="18">
        <v>0.91666666666666663</v>
      </c>
      <c r="C674" s="19">
        <v>5.77</v>
      </c>
      <c r="D674" s="19">
        <v>73.97</v>
      </c>
      <c r="E674" s="19">
        <v>2.57</v>
      </c>
      <c r="F674" s="19">
        <v>34.93</v>
      </c>
      <c r="G674" s="19">
        <v>17.18</v>
      </c>
      <c r="H674" s="20">
        <v>14.48</v>
      </c>
      <c r="I674" s="20">
        <v>43.88</v>
      </c>
      <c r="J674" s="20">
        <v>930.45</v>
      </c>
      <c r="K674" s="21">
        <v>1042403.55</v>
      </c>
      <c r="L674" s="2"/>
    </row>
    <row r="675" spans="1:12" ht="15.75" thickBot="1" x14ac:dyDescent="0.3">
      <c r="A675" s="60">
        <v>46080</v>
      </c>
      <c r="B675" s="35">
        <v>0.95833333333333337</v>
      </c>
      <c r="C675" s="23">
        <v>5.85</v>
      </c>
      <c r="D675" s="23">
        <v>74.14</v>
      </c>
      <c r="E675" s="23">
        <v>2.23</v>
      </c>
      <c r="F675" s="23">
        <v>22.65</v>
      </c>
      <c r="G675" s="23">
        <v>17.170000000000002</v>
      </c>
      <c r="H675" s="24">
        <v>14.48</v>
      </c>
      <c r="I675" s="24">
        <v>43.96</v>
      </c>
      <c r="J675" s="24">
        <v>930.47</v>
      </c>
      <c r="K675" s="25">
        <v>1036905.3700000001</v>
      </c>
      <c r="L675" s="2"/>
    </row>
    <row r="676" spans="1:12" ht="15.75" thickBot="1" x14ac:dyDescent="0.3">
      <c r="A676" s="26" t="s">
        <v>71</v>
      </c>
      <c r="B676" s="44"/>
      <c r="C676" s="45">
        <f t="shared" ref="C676:K676" si="26">IFERROR(ROUND(AVERAGE(C652:C675), 2), "")</f>
        <v>5.0599999999999996</v>
      </c>
      <c r="D676" s="45">
        <f t="shared" si="26"/>
        <v>77.05</v>
      </c>
      <c r="E676" s="45">
        <f t="shared" si="26"/>
        <v>2.4</v>
      </c>
      <c r="F676" s="45">
        <f t="shared" si="26"/>
        <v>30.28</v>
      </c>
      <c r="G676" s="45">
        <f t="shared" si="26"/>
        <v>17.239999999999998</v>
      </c>
      <c r="H676" s="45">
        <f t="shared" si="26"/>
        <v>14.49</v>
      </c>
      <c r="I676" s="45">
        <f t="shared" si="26"/>
        <v>43.15</v>
      </c>
      <c r="J676" s="45">
        <f t="shared" si="26"/>
        <v>927.34</v>
      </c>
      <c r="K676" s="46">
        <f t="shared" si="26"/>
        <v>991526.7</v>
      </c>
      <c r="L676" s="7"/>
    </row>
    <row r="677" spans="1:12" x14ac:dyDescent="0.25">
      <c r="A677" s="57">
        <v>46081</v>
      </c>
      <c r="B677" s="14">
        <v>0</v>
      </c>
      <c r="C677" s="15">
        <v>5.97</v>
      </c>
      <c r="D677" s="15">
        <v>74.02</v>
      </c>
      <c r="E677" s="15">
        <v>1.81</v>
      </c>
      <c r="F677" s="15">
        <v>38.32</v>
      </c>
      <c r="G677" s="16">
        <v>17.170000000000002</v>
      </c>
      <c r="H677" s="16">
        <v>14.48</v>
      </c>
      <c r="I677" s="16">
        <v>44.02</v>
      </c>
      <c r="J677" s="16">
        <v>930.42</v>
      </c>
      <c r="K677" s="31">
        <v>1032465.95</v>
      </c>
      <c r="L677" s="1"/>
    </row>
    <row r="678" spans="1:12" x14ac:dyDescent="0.25">
      <c r="A678" s="58">
        <v>46081</v>
      </c>
      <c r="B678" s="18">
        <v>4.1666666666666664E-2</v>
      </c>
      <c r="C678" s="19">
        <v>3.13</v>
      </c>
      <c r="D678" s="19">
        <v>78.03</v>
      </c>
      <c r="E678" s="19">
        <v>1.9</v>
      </c>
      <c r="F678" s="19">
        <v>39.340000000000003</v>
      </c>
      <c r="G678" s="20">
        <v>17.25</v>
      </c>
      <c r="H678" s="20">
        <v>14.44</v>
      </c>
      <c r="I678" s="20">
        <v>43.35</v>
      </c>
      <c r="J678" s="20">
        <v>930.56</v>
      </c>
      <c r="K678" s="32">
        <v>999083.01</v>
      </c>
      <c r="L678" s="1"/>
    </row>
    <row r="679" spans="1:12" x14ac:dyDescent="0.25">
      <c r="A679" s="58">
        <v>46081</v>
      </c>
      <c r="B679" s="18">
        <v>8.3333333333333329E-2</v>
      </c>
      <c r="C679" s="19">
        <v>4.2</v>
      </c>
      <c r="D679" s="19">
        <v>76.14</v>
      </c>
      <c r="E679" s="19">
        <v>2.25</v>
      </c>
      <c r="F679" s="19">
        <v>33.89</v>
      </c>
      <c r="G679" s="20">
        <v>17.260000000000002</v>
      </c>
      <c r="H679" s="20">
        <v>14.43</v>
      </c>
      <c r="I679" s="20">
        <v>43</v>
      </c>
      <c r="J679" s="20">
        <v>930.78</v>
      </c>
      <c r="K679" s="32">
        <v>990180.26</v>
      </c>
      <c r="L679" s="1"/>
    </row>
    <row r="680" spans="1:12" x14ac:dyDescent="0.25">
      <c r="A680" s="58">
        <v>46081</v>
      </c>
      <c r="B680" s="18">
        <v>0.125</v>
      </c>
      <c r="C680" s="19">
        <v>6.55</v>
      </c>
      <c r="D680" s="19">
        <v>76.75</v>
      </c>
      <c r="E680" s="19">
        <v>15</v>
      </c>
      <c r="F680" s="19">
        <v>33.520000000000003</v>
      </c>
      <c r="G680" s="20">
        <v>17.260000000000002</v>
      </c>
      <c r="H680" s="20">
        <v>14.43</v>
      </c>
      <c r="I680" s="20">
        <v>43.06</v>
      </c>
      <c r="J680" s="20">
        <v>930.75</v>
      </c>
      <c r="K680" s="32">
        <v>993826.78</v>
      </c>
      <c r="L680" s="1"/>
    </row>
    <row r="681" spans="1:12" x14ac:dyDescent="0.25">
      <c r="A681" s="58">
        <v>46081</v>
      </c>
      <c r="B681" s="18">
        <v>0.16666666666666666</v>
      </c>
      <c r="C681" s="19">
        <v>4.2300000000000004</v>
      </c>
      <c r="D681" s="19">
        <v>76.86</v>
      </c>
      <c r="E681" s="19">
        <v>2.52</v>
      </c>
      <c r="F681" s="19">
        <v>36.43</v>
      </c>
      <c r="G681" s="20">
        <v>17.25</v>
      </c>
      <c r="H681" s="20">
        <v>14.43</v>
      </c>
      <c r="I681" s="20">
        <v>42.87</v>
      </c>
      <c r="J681" s="20">
        <v>930.4</v>
      </c>
      <c r="K681" s="32">
        <v>993129.14999999991</v>
      </c>
      <c r="L681" s="1"/>
    </row>
    <row r="682" spans="1:12" x14ac:dyDescent="0.25">
      <c r="A682" s="58">
        <v>46081</v>
      </c>
      <c r="B682" s="18">
        <v>0.20833333333333334</v>
      </c>
      <c r="C682" s="19">
        <v>5.18</v>
      </c>
      <c r="D682" s="19">
        <v>75.53</v>
      </c>
      <c r="E682" s="19">
        <v>2.2000000000000002</v>
      </c>
      <c r="F682" s="19">
        <v>38.4</v>
      </c>
      <c r="G682" s="20">
        <v>17.27</v>
      </c>
      <c r="H682" s="20">
        <v>14.42</v>
      </c>
      <c r="I682" s="20">
        <v>42.88</v>
      </c>
      <c r="J682" s="20">
        <v>930.59</v>
      </c>
      <c r="K682" s="32">
        <v>995674.07000000007</v>
      </c>
      <c r="L682" s="1"/>
    </row>
    <row r="683" spans="1:12" x14ac:dyDescent="0.25">
      <c r="A683" s="58">
        <v>46081</v>
      </c>
      <c r="B683" s="18">
        <v>0.25</v>
      </c>
      <c r="C683" s="19">
        <v>5.6</v>
      </c>
      <c r="D683" s="19">
        <v>78.400000000000006</v>
      </c>
      <c r="E683" s="19">
        <v>2.4700000000000002</v>
      </c>
      <c r="F683" s="19">
        <v>35.200000000000003</v>
      </c>
      <c r="G683" s="20">
        <v>17.239999999999998</v>
      </c>
      <c r="H683" s="20">
        <v>14.44</v>
      </c>
      <c r="I683" s="20">
        <v>43.18</v>
      </c>
      <c r="J683" s="20">
        <v>930.38</v>
      </c>
      <c r="K683" s="32">
        <v>999371.04</v>
      </c>
      <c r="L683" s="1"/>
    </row>
    <row r="684" spans="1:12" x14ac:dyDescent="0.25">
      <c r="A684" s="58">
        <v>46081</v>
      </c>
      <c r="B684" s="18">
        <v>0.29166666666666669</v>
      </c>
      <c r="C684" s="19">
        <v>5.38</v>
      </c>
      <c r="D684" s="19">
        <v>83.51</v>
      </c>
      <c r="E684" s="19">
        <v>2.63</v>
      </c>
      <c r="F684" s="19">
        <v>5.26</v>
      </c>
      <c r="G684" s="20">
        <v>17.329999999999998</v>
      </c>
      <c r="H684" s="20">
        <v>14.44</v>
      </c>
      <c r="I684" s="20">
        <v>43.23</v>
      </c>
      <c r="J684" s="20">
        <v>930.6</v>
      </c>
      <c r="K684" s="32">
        <v>1004445.21</v>
      </c>
      <c r="L684" s="1"/>
    </row>
    <row r="685" spans="1:12" x14ac:dyDescent="0.25">
      <c r="A685" s="58">
        <v>46081</v>
      </c>
      <c r="B685" s="18">
        <v>0.33333333333333331</v>
      </c>
      <c r="C685" s="19">
        <v>4.62</v>
      </c>
      <c r="D685" s="19">
        <v>82.19</v>
      </c>
      <c r="E685" s="19">
        <v>2.85</v>
      </c>
      <c r="F685" s="19">
        <v>3.08</v>
      </c>
      <c r="G685" s="20">
        <v>17.36</v>
      </c>
      <c r="H685" s="20">
        <v>14.43</v>
      </c>
      <c r="I685" s="20">
        <v>43.3</v>
      </c>
      <c r="J685" s="20">
        <v>931.07</v>
      </c>
      <c r="K685" s="32">
        <v>1005350.22</v>
      </c>
      <c r="L685" s="1"/>
    </row>
    <row r="686" spans="1:12" x14ac:dyDescent="0.25">
      <c r="A686" s="58">
        <v>46081</v>
      </c>
      <c r="B686" s="18">
        <v>0.375</v>
      </c>
      <c r="C686" s="19">
        <v>5.59</v>
      </c>
      <c r="D686" s="19">
        <v>82.34</v>
      </c>
      <c r="E686" s="19">
        <v>2.92</v>
      </c>
      <c r="F686" s="19">
        <v>3.51</v>
      </c>
      <c r="G686" s="20">
        <v>17.37</v>
      </c>
      <c r="H686" s="20">
        <v>14.42</v>
      </c>
      <c r="I686" s="20">
        <v>43.05</v>
      </c>
      <c r="J686" s="20">
        <v>931.1</v>
      </c>
      <c r="K686" s="32">
        <v>1008659.5</v>
      </c>
      <c r="L686" s="1"/>
    </row>
    <row r="687" spans="1:12" x14ac:dyDescent="0.25">
      <c r="A687" s="58">
        <v>46081</v>
      </c>
      <c r="B687" s="18">
        <v>0.41666666666666669</v>
      </c>
      <c r="C687" s="19">
        <v>3.93</v>
      </c>
      <c r="D687" s="19">
        <v>82.8</v>
      </c>
      <c r="E687" s="19">
        <v>3.07</v>
      </c>
      <c r="F687" s="19">
        <v>3.26</v>
      </c>
      <c r="G687" s="20">
        <v>17.36</v>
      </c>
      <c r="H687" s="20">
        <v>14.44</v>
      </c>
      <c r="I687" s="20">
        <v>43.41</v>
      </c>
      <c r="J687" s="20">
        <v>930.74</v>
      </c>
      <c r="K687" s="32">
        <v>1010427.2</v>
      </c>
      <c r="L687" s="1"/>
    </row>
    <row r="688" spans="1:12" x14ac:dyDescent="0.25">
      <c r="A688" s="58">
        <v>46081</v>
      </c>
      <c r="B688" s="18">
        <v>0.45833333333333331</v>
      </c>
      <c r="C688" s="19">
        <v>4.72</v>
      </c>
      <c r="D688" s="19">
        <v>81.12</v>
      </c>
      <c r="E688" s="19">
        <v>1.86</v>
      </c>
      <c r="F688" s="19">
        <v>3.23</v>
      </c>
      <c r="G688" s="20">
        <v>17.329999999999998</v>
      </c>
      <c r="H688" s="20">
        <v>14.51</v>
      </c>
      <c r="I688" s="20">
        <v>44.84</v>
      </c>
      <c r="J688" s="20">
        <v>930.37</v>
      </c>
      <c r="K688" s="32">
        <v>999781.6100000001</v>
      </c>
      <c r="L688" s="1"/>
    </row>
    <row r="689" spans="1:12" x14ac:dyDescent="0.25">
      <c r="A689" s="58">
        <v>46081</v>
      </c>
      <c r="B689" s="18">
        <v>0.5</v>
      </c>
      <c r="C689" s="19">
        <v>4.18</v>
      </c>
      <c r="D689" s="19">
        <v>79.47</v>
      </c>
      <c r="E689" s="19">
        <v>1.43</v>
      </c>
      <c r="F689" s="19">
        <v>6</v>
      </c>
      <c r="G689" s="20">
        <v>17.3</v>
      </c>
      <c r="H689" s="20">
        <v>14.58</v>
      </c>
      <c r="I689" s="20">
        <v>46.03</v>
      </c>
      <c r="J689" s="20">
        <v>929.69</v>
      </c>
      <c r="K689" s="32">
        <v>986794.55</v>
      </c>
      <c r="L689" s="1"/>
    </row>
    <row r="690" spans="1:12" x14ac:dyDescent="0.25">
      <c r="A690" s="58">
        <v>46081</v>
      </c>
      <c r="B690" s="18">
        <v>0.54166666666666663</v>
      </c>
      <c r="C690" s="19">
        <v>5.17</v>
      </c>
      <c r="D690" s="19">
        <v>78.239999999999995</v>
      </c>
      <c r="E690" s="19">
        <v>1.64</v>
      </c>
      <c r="F690" s="19">
        <v>6.77</v>
      </c>
      <c r="G690" s="20">
        <v>17.28</v>
      </c>
      <c r="H690" s="20">
        <v>14.63</v>
      </c>
      <c r="I690" s="20">
        <v>46.87</v>
      </c>
      <c r="J690" s="20">
        <v>928.93</v>
      </c>
      <c r="K690" s="32">
        <v>987086.58000000007</v>
      </c>
      <c r="L690" s="1"/>
    </row>
    <row r="691" spans="1:12" x14ac:dyDescent="0.25">
      <c r="A691" s="58">
        <v>46081</v>
      </c>
      <c r="B691" s="18">
        <v>0.58333333333333337</v>
      </c>
      <c r="C691" s="19">
        <v>5.26</v>
      </c>
      <c r="D691" s="19">
        <v>76.59</v>
      </c>
      <c r="E691" s="19">
        <v>1.96</v>
      </c>
      <c r="F691" s="19">
        <v>7.12</v>
      </c>
      <c r="G691" s="20">
        <v>17.29</v>
      </c>
      <c r="H691" s="20">
        <v>14.66</v>
      </c>
      <c r="I691" s="20">
        <v>220</v>
      </c>
      <c r="J691" s="20">
        <v>928.38</v>
      </c>
      <c r="K691" s="32">
        <v>973088.33000000007</v>
      </c>
      <c r="L691" s="1"/>
    </row>
    <row r="692" spans="1:12" x14ac:dyDescent="0.25">
      <c r="A692" s="58">
        <v>46081</v>
      </c>
      <c r="B692" s="18">
        <v>0.625</v>
      </c>
      <c r="C692" s="19">
        <v>3.95</v>
      </c>
      <c r="D692" s="19">
        <v>77.28</v>
      </c>
      <c r="E692" s="19">
        <v>1.71</v>
      </c>
      <c r="F692" s="19">
        <v>8.49</v>
      </c>
      <c r="G692" s="20">
        <v>17.28</v>
      </c>
      <c r="H692" s="20">
        <v>14.69</v>
      </c>
      <c r="I692" s="20">
        <v>47.91</v>
      </c>
      <c r="J692" s="20">
        <v>928.01</v>
      </c>
      <c r="K692" s="32">
        <v>976349.3</v>
      </c>
      <c r="L692" s="1"/>
    </row>
    <row r="693" spans="1:12" x14ac:dyDescent="0.25">
      <c r="A693" s="58">
        <v>46081</v>
      </c>
      <c r="B693" s="18">
        <v>0.66666666666666663</v>
      </c>
      <c r="C693" s="19">
        <v>5.78</v>
      </c>
      <c r="D693" s="19">
        <v>80.430000000000007</v>
      </c>
      <c r="E693" s="19">
        <v>0.93</v>
      </c>
      <c r="F693" s="19">
        <v>5.67</v>
      </c>
      <c r="G693" s="20">
        <v>17.309999999999999</v>
      </c>
      <c r="H693" s="20">
        <v>14.69</v>
      </c>
      <c r="I693" s="20">
        <v>47.84</v>
      </c>
      <c r="J693" s="20">
        <v>927.77</v>
      </c>
      <c r="K693" s="32">
        <v>967697.62000000011</v>
      </c>
      <c r="L693" s="1"/>
    </row>
    <row r="694" spans="1:12" x14ac:dyDescent="0.25">
      <c r="A694" s="58">
        <v>46081</v>
      </c>
      <c r="B694" s="18">
        <v>0.70833333333333337</v>
      </c>
      <c r="C694" s="19">
        <v>3.14</v>
      </c>
      <c r="D694" s="19">
        <v>82.32</v>
      </c>
      <c r="E694" s="19">
        <v>1.08</v>
      </c>
      <c r="F694" s="19">
        <v>3.55</v>
      </c>
      <c r="G694" s="20">
        <v>17.309999999999999</v>
      </c>
      <c r="H694" s="20">
        <v>14.68</v>
      </c>
      <c r="I694" s="20">
        <v>47.52</v>
      </c>
      <c r="J694" s="20">
        <v>927.55</v>
      </c>
      <c r="K694" s="32">
        <v>965247.24</v>
      </c>
      <c r="L694" s="1"/>
    </row>
    <row r="695" spans="1:12" x14ac:dyDescent="0.25">
      <c r="A695" s="58">
        <v>46081</v>
      </c>
      <c r="B695" s="18">
        <v>0.75</v>
      </c>
      <c r="C695" s="19">
        <v>4.01</v>
      </c>
      <c r="D695" s="19">
        <v>83.34</v>
      </c>
      <c r="E695" s="19">
        <v>0.92</v>
      </c>
      <c r="F695" s="19">
        <v>3.55</v>
      </c>
      <c r="G695" s="20">
        <v>17.3</v>
      </c>
      <c r="H695" s="20">
        <v>14.68</v>
      </c>
      <c r="I695" s="20">
        <v>47.29</v>
      </c>
      <c r="J695" s="20">
        <v>927.28</v>
      </c>
      <c r="K695" s="32">
        <v>963919.57000000007</v>
      </c>
      <c r="L695" s="1"/>
    </row>
    <row r="696" spans="1:12" x14ac:dyDescent="0.25">
      <c r="A696" s="58">
        <v>46081</v>
      </c>
      <c r="B696" s="18">
        <v>0.79166666666666663</v>
      </c>
      <c r="C696" s="19">
        <v>4.5999999999999996</v>
      </c>
      <c r="D696" s="19">
        <v>83.58</v>
      </c>
      <c r="E696" s="19">
        <v>1.03</v>
      </c>
      <c r="F696" s="19">
        <v>5.2</v>
      </c>
      <c r="G696" s="20">
        <v>17.32</v>
      </c>
      <c r="H696" s="20">
        <v>14.67</v>
      </c>
      <c r="I696" s="20">
        <v>47.05</v>
      </c>
      <c r="J696" s="20">
        <v>926.78</v>
      </c>
      <c r="K696" s="32">
        <v>964072.15999999992</v>
      </c>
      <c r="L696" s="1"/>
    </row>
    <row r="697" spans="1:12" x14ac:dyDescent="0.25">
      <c r="A697" s="58">
        <v>46081</v>
      </c>
      <c r="B697" s="18">
        <v>0.83333333333333337</v>
      </c>
      <c r="C697" s="19">
        <v>5.05</v>
      </c>
      <c r="D697" s="19">
        <v>83.03</v>
      </c>
      <c r="E697" s="19">
        <v>0.89</v>
      </c>
      <c r="F697" s="19">
        <v>6.03</v>
      </c>
      <c r="G697" s="20">
        <v>17.309999999999999</v>
      </c>
      <c r="H697" s="20">
        <v>14.68</v>
      </c>
      <c r="I697" s="20">
        <v>47.01</v>
      </c>
      <c r="J697" s="20">
        <v>926.38</v>
      </c>
      <c r="K697" s="32">
        <v>959181.6399999999</v>
      </c>
      <c r="L697" s="1"/>
    </row>
    <row r="698" spans="1:12" x14ac:dyDescent="0.25">
      <c r="A698" s="58">
        <v>46081</v>
      </c>
      <c r="B698" s="18">
        <v>0.875</v>
      </c>
      <c r="C698" s="19">
        <v>5.89</v>
      </c>
      <c r="D698" s="19">
        <v>81.64</v>
      </c>
      <c r="E698" s="19">
        <v>0.89</v>
      </c>
      <c r="F698" s="19">
        <v>11.48</v>
      </c>
      <c r="G698" s="20">
        <v>17.28</v>
      </c>
      <c r="H698" s="20">
        <v>14.67</v>
      </c>
      <c r="I698" s="20">
        <v>46.7</v>
      </c>
      <c r="J698" s="20">
        <v>925.99</v>
      </c>
      <c r="K698" s="32">
        <v>962936.52</v>
      </c>
      <c r="L698" s="1"/>
    </row>
    <row r="699" spans="1:12" x14ac:dyDescent="0.25">
      <c r="A699" s="58">
        <v>46081</v>
      </c>
      <c r="B699" s="18">
        <v>0.91666666666666663</v>
      </c>
      <c r="C699" s="19">
        <v>4.82</v>
      </c>
      <c r="D699" s="19">
        <v>82.54</v>
      </c>
      <c r="E699" s="19">
        <v>0.87</v>
      </c>
      <c r="F699" s="19">
        <v>17.84</v>
      </c>
      <c r="G699" s="20">
        <v>17.21</v>
      </c>
      <c r="H699" s="20">
        <v>14.68</v>
      </c>
      <c r="I699" s="20">
        <v>46.85</v>
      </c>
      <c r="J699" s="20">
        <v>925.67</v>
      </c>
      <c r="K699" s="32">
        <v>998479.66999999993</v>
      </c>
      <c r="L699" s="1"/>
    </row>
    <row r="700" spans="1:12" ht="15.75" thickBot="1" x14ac:dyDescent="0.3">
      <c r="A700" s="60">
        <v>46081</v>
      </c>
      <c r="B700" s="35">
        <v>0.95833333333333337</v>
      </c>
      <c r="C700" s="23">
        <v>4.4800000000000004</v>
      </c>
      <c r="D700" s="23">
        <v>84.07</v>
      </c>
      <c r="E700" s="23">
        <v>1</v>
      </c>
      <c r="F700" s="23">
        <v>15.71</v>
      </c>
      <c r="G700" s="24">
        <v>17.21</v>
      </c>
      <c r="H700" s="24">
        <v>14.67</v>
      </c>
      <c r="I700" s="24">
        <v>46.53</v>
      </c>
      <c r="J700" s="24">
        <v>925.28</v>
      </c>
      <c r="K700" s="36">
        <v>992391.7</v>
      </c>
      <c r="L700" s="1"/>
    </row>
    <row r="701" spans="1:12" ht="15.75" thickBot="1" x14ac:dyDescent="0.3">
      <c r="A701" s="26" t="s">
        <v>72</v>
      </c>
      <c r="B701" s="44"/>
      <c r="C701" s="45">
        <f t="shared" ref="C701:K701" si="27">IFERROR(ROUND(AVERAGE(C677:C700), 2), "")</f>
        <v>4.8099999999999996</v>
      </c>
      <c r="D701" s="45">
        <f t="shared" si="27"/>
        <v>80.010000000000005</v>
      </c>
      <c r="E701" s="45">
        <f t="shared" si="27"/>
        <v>2.33</v>
      </c>
      <c r="F701" s="45">
        <f t="shared" si="27"/>
        <v>15.45</v>
      </c>
      <c r="G701" s="45">
        <f t="shared" si="27"/>
        <v>17.29</v>
      </c>
      <c r="H701" s="45">
        <f t="shared" si="27"/>
        <v>14.55</v>
      </c>
      <c r="I701" s="45">
        <f t="shared" si="27"/>
        <v>52.41</v>
      </c>
      <c r="J701" s="45">
        <f t="shared" si="27"/>
        <v>928.98</v>
      </c>
      <c r="K701" s="46">
        <f t="shared" si="27"/>
        <v>988734.95</v>
      </c>
      <c r="L701" s="7"/>
    </row>
    <row r="702" spans="1:12" x14ac:dyDescent="0.25">
      <c r="A702" s="57"/>
      <c r="B702" s="14">
        <v>0</v>
      </c>
      <c r="C702" s="15"/>
      <c r="D702" s="15"/>
      <c r="E702" s="15"/>
      <c r="F702" s="15"/>
      <c r="G702" s="15"/>
      <c r="H702" s="16"/>
      <c r="I702" s="16"/>
      <c r="J702" s="16"/>
      <c r="K702" s="17"/>
      <c r="L702" s="1"/>
    </row>
    <row r="703" spans="1:12" x14ac:dyDescent="0.25">
      <c r="A703" s="58"/>
      <c r="B703" s="18">
        <v>4.1666666666666664E-2</v>
      </c>
      <c r="C703" s="19"/>
      <c r="D703" s="19"/>
      <c r="E703" s="19"/>
      <c r="F703" s="19"/>
      <c r="G703" s="19"/>
      <c r="H703" s="20"/>
      <c r="I703" s="20"/>
      <c r="J703" s="20"/>
      <c r="K703" s="21"/>
      <c r="L703" s="1"/>
    </row>
    <row r="704" spans="1:12" x14ac:dyDescent="0.25">
      <c r="A704" s="58"/>
      <c r="B704" s="18">
        <v>8.3333333333333329E-2</v>
      </c>
      <c r="C704" s="19"/>
      <c r="D704" s="19"/>
      <c r="E704" s="19"/>
      <c r="F704" s="19"/>
      <c r="G704" s="19"/>
      <c r="H704" s="20"/>
      <c r="I704" s="20"/>
      <c r="J704" s="20"/>
      <c r="K704" s="21"/>
      <c r="L704" s="1"/>
    </row>
    <row r="705" spans="1:12" x14ac:dyDescent="0.25">
      <c r="A705" s="58"/>
      <c r="B705" s="18">
        <v>0.125</v>
      </c>
      <c r="C705" s="19"/>
      <c r="D705" s="19"/>
      <c r="E705" s="19"/>
      <c r="F705" s="19"/>
      <c r="G705" s="19"/>
      <c r="H705" s="20"/>
      <c r="I705" s="20"/>
      <c r="J705" s="20"/>
      <c r="K705" s="21"/>
      <c r="L705" s="1"/>
    </row>
    <row r="706" spans="1:12" x14ac:dyDescent="0.25">
      <c r="A706" s="58"/>
      <c r="B706" s="18">
        <v>0.16666666666666666</v>
      </c>
      <c r="C706" s="19"/>
      <c r="D706" s="19"/>
      <c r="E706" s="19"/>
      <c r="F706" s="19"/>
      <c r="G706" s="19"/>
      <c r="H706" s="20"/>
      <c r="I706" s="20"/>
      <c r="J706" s="20"/>
      <c r="K706" s="21"/>
      <c r="L706" s="1"/>
    </row>
    <row r="707" spans="1:12" x14ac:dyDescent="0.25">
      <c r="A707" s="58"/>
      <c r="B707" s="18">
        <v>0.20833333333333334</v>
      </c>
      <c r="C707" s="19"/>
      <c r="D707" s="19"/>
      <c r="E707" s="19"/>
      <c r="F707" s="19"/>
      <c r="G707" s="19"/>
      <c r="H707" s="20"/>
      <c r="I707" s="20"/>
      <c r="J707" s="20"/>
      <c r="K707" s="21"/>
      <c r="L707" s="1"/>
    </row>
    <row r="708" spans="1:12" x14ac:dyDescent="0.25">
      <c r="A708" s="58"/>
      <c r="B708" s="18">
        <v>0.25</v>
      </c>
      <c r="C708" s="19"/>
      <c r="D708" s="19"/>
      <c r="E708" s="19"/>
      <c r="F708" s="19"/>
      <c r="G708" s="19"/>
      <c r="H708" s="20"/>
      <c r="I708" s="20"/>
      <c r="J708" s="20"/>
      <c r="K708" s="21"/>
      <c r="L708" s="1"/>
    </row>
    <row r="709" spans="1:12" x14ac:dyDescent="0.25">
      <c r="A709" s="58"/>
      <c r="B709" s="18">
        <v>0.29166666666666669</v>
      </c>
      <c r="C709" s="19"/>
      <c r="D709" s="19"/>
      <c r="E709" s="19"/>
      <c r="F709" s="19"/>
      <c r="G709" s="19"/>
      <c r="H709" s="20"/>
      <c r="I709" s="20"/>
      <c r="J709" s="20"/>
      <c r="K709" s="21"/>
      <c r="L709" s="1"/>
    </row>
    <row r="710" spans="1:12" x14ac:dyDescent="0.25">
      <c r="A710" s="58"/>
      <c r="B710" s="18">
        <v>0.33333333333333331</v>
      </c>
      <c r="C710" s="19"/>
      <c r="D710" s="19"/>
      <c r="E710" s="19"/>
      <c r="F710" s="19"/>
      <c r="G710" s="19"/>
      <c r="H710" s="20"/>
      <c r="I710" s="20"/>
      <c r="J710" s="20"/>
      <c r="K710" s="21"/>
      <c r="L710" s="1"/>
    </row>
    <row r="711" spans="1:12" x14ac:dyDescent="0.25">
      <c r="A711" s="58"/>
      <c r="B711" s="18">
        <v>0.375</v>
      </c>
      <c r="C711" s="19"/>
      <c r="D711" s="19"/>
      <c r="E711" s="19"/>
      <c r="F711" s="19"/>
      <c r="G711" s="19"/>
      <c r="H711" s="20"/>
      <c r="I711" s="20"/>
      <c r="J711" s="20"/>
      <c r="K711" s="21"/>
      <c r="L711" s="1"/>
    </row>
    <row r="712" spans="1:12" x14ac:dyDescent="0.25">
      <c r="A712" s="58"/>
      <c r="B712" s="18">
        <v>0.41666666666666669</v>
      </c>
      <c r="C712" s="19"/>
      <c r="D712" s="19"/>
      <c r="E712" s="19"/>
      <c r="F712" s="19"/>
      <c r="G712" s="19"/>
      <c r="H712" s="20"/>
      <c r="I712" s="20"/>
      <c r="J712" s="20"/>
      <c r="K712" s="21"/>
      <c r="L712" s="1"/>
    </row>
    <row r="713" spans="1:12" x14ac:dyDescent="0.25">
      <c r="A713" s="58"/>
      <c r="B713" s="18">
        <v>0.45833333333333331</v>
      </c>
      <c r="C713" s="19"/>
      <c r="D713" s="19"/>
      <c r="E713" s="19"/>
      <c r="F713" s="19"/>
      <c r="G713" s="19"/>
      <c r="H713" s="20"/>
      <c r="I713" s="20"/>
      <c r="J713" s="20"/>
      <c r="K713" s="21"/>
      <c r="L713" s="1"/>
    </row>
    <row r="714" spans="1:12" x14ac:dyDescent="0.25">
      <c r="A714" s="58"/>
      <c r="B714" s="18">
        <v>0.5</v>
      </c>
      <c r="C714" s="19"/>
      <c r="D714" s="19"/>
      <c r="E714" s="19"/>
      <c r="F714" s="19"/>
      <c r="G714" s="19"/>
      <c r="H714" s="20"/>
      <c r="I714" s="20"/>
      <c r="J714" s="20"/>
      <c r="K714" s="21"/>
      <c r="L714" s="1"/>
    </row>
    <row r="715" spans="1:12" x14ac:dyDescent="0.25">
      <c r="A715" s="58"/>
      <c r="B715" s="18">
        <v>0.54166666666666663</v>
      </c>
      <c r="C715" s="19"/>
      <c r="D715" s="19"/>
      <c r="E715" s="19"/>
      <c r="F715" s="19"/>
      <c r="G715" s="19"/>
      <c r="H715" s="20"/>
      <c r="I715" s="20"/>
      <c r="J715" s="20"/>
      <c r="K715" s="21"/>
      <c r="L715" s="1"/>
    </row>
    <row r="716" spans="1:12" x14ac:dyDescent="0.25">
      <c r="A716" s="58"/>
      <c r="B716" s="18">
        <v>0.58333333333333337</v>
      </c>
      <c r="C716" s="19"/>
      <c r="D716" s="19"/>
      <c r="E716" s="19"/>
      <c r="F716" s="19"/>
      <c r="G716" s="19"/>
      <c r="H716" s="20"/>
      <c r="I716" s="20"/>
      <c r="J716" s="20"/>
      <c r="K716" s="21"/>
      <c r="L716" s="1"/>
    </row>
    <row r="717" spans="1:12" x14ac:dyDescent="0.25">
      <c r="A717" s="58"/>
      <c r="B717" s="18">
        <v>0.625</v>
      </c>
      <c r="C717" s="19"/>
      <c r="D717" s="19"/>
      <c r="E717" s="19"/>
      <c r="F717" s="19"/>
      <c r="G717" s="19"/>
      <c r="H717" s="20"/>
      <c r="I717" s="20"/>
      <c r="J717" s="20"/>
      <c r="K717" s="21"/>
      <c r="L717" s="1"/>
    </row>
    <row r="718" spans="1:12" x14ac:dyDescent="0.25">
      <c r="A718" s="58"/>
      <c r="B718" s="18">
        <v>0.66666666666666663</v>
      </c>
      <c r="C718" s="19"/>
      <c r="D718" s="19"/>
      <c r="E718" s="19"/>
      <c r="F718" s="19"/>
      <c r="G718" s="19"/>
      <c r="H718" s="20"/>
      <c r="I718" s="20"/>
      <c r="J718" s="20"/>
      <c r="K718" s="21"/>
      <c r="L718" s="1"/>
    </row>
    <row r="719" spans="1:12" x14ac:dyDescent="0.25">
      <c r="A719" s="58"/>
      <c r="B719" s="18">
        <v>0.70833333333333337</v>
      </c>
      <c r="C719" s="19"/>
      <c r="D719" s="19"/>
      <c r="E719" s="19"/>
      <c r="F719" s="19"/>
      <c r="G719" s="19"/>
      <c r="H719" s="20"/>
      <c r="I719" s="20"/>
      <c r="J719" s="20"/>
      <c r="K719" s="21"/>
      <c r="L719" s="1"/>
    </row>
    <row r="720" spans="1:12" x14ac:dyDescent="0.25">
      <c r="A720" s="58"/>
      <c r="B720" s="18">
        <v>0.75</v>
      </c>
      <c r="C720" s="19"/>
      <c r="D720" s="19"/>
      <c r="E720" s="19"/>
      <c r="F720" s="19"/>
      <c r="G720" s="19"/>
      <c r="H720" s="20"/>
      <c r="I720" s="20"/>
      <c r="J720" s="20"/>
      <c r="K720" s="21"/>
      <c r="L720" s="1"/>
    </row>
    <row r="721" spans="1:12" x14ac:dyDescent="0.25">
      <c r="A721" s="58"/>
      <c r="B721" s="18">
        <v>0.79166666666666663</v>
      </c>
      <c r="C721" s="19"/>
      <c r="D721" s="19"/>
      <c r="E721" s="19"/>
      <c r="F721" s="19"/>
      <c r="G721" s="19"/>
      <c r="H721" s="20"/>
      <c r="I721" s="20"/>
      <c r="J721" s="20"/>
      <c r="K721" s="21"/>
      <c r="L721" s="1"/>
    </row>
    <row r="722" spans="1:12" x14ac:dyDescent="0.25">
      <c r="A722" s="58"/>
      <c r="B722" s="18">
        <v>0.83333333333333337</v>
      </c>
      <c r="C722" s="19"/>
      <c r="D722" s="19"/>
      <c r="E722" s="19"/>
      <c r="F722" s="19"/>
      <c r="G722" s="19"/>
      <c r="H722" s="20"/>
      <c r="I722" s="20"/>
      <c r="J722" s="20"/>
      <c r="K722" s="21"/>
      <c r="L722" s="1"/>
    </row>
    <row r="723" spans="1:12" x14ac:dyDescent="0.25">
      <c r="A723" s="58"/>
      <c r="B723" s="18">
        <v>0.875</v>
      </c>
      <c r="C723" s="19"/>
      <c r="D723" s="19"/>
      <c r="E723" s="19"/>
      <c r="F723" s="19"/>
      <c r="G723" s="19"/>
      <c r="H723" s="20"/>
      <c r="I723" s="20"/>
      <c r="J723" s="20"/>
      <c r="K723" s="21"/>
      <c r="L723" s="1"/>
    </row>
    <row r="724" spans="1:12" x14ac:dyDescent="0.25">
      <c r="A724" s="58"/>
      <c r="B724" s="18">
        <v>0.91666666666666663</v>
      </c>
      <c r="C724" s="19"/>
      <c r="D724" s="19"/>
      <c r="E724" s="19"/>
      <c r="F724" s="19"/>
      <c r="G724" s="19"/>
      <c r="H724" s="20"/>
      <c r="I724" s="20"/>
      <c r="J724" s="20"/>
      <c r="K724" s="21"/>
      <c r="L724" s="1"/>
    </row>
    <row r="725" spans="1:12" ht="15.75" thickBot="1" x14ac:dyDescent="0.3">
      <c r="A725" s="60"/>
      <c r="B725" s="35">
        <v>0.95833333333333337</v>
      </c>
      <c r="C725" s="23"/>
      <c r="D725" s="23"/>
      <c r="E725" s="23"/>
      <c r="F725" s="23"/>
      <c r="G725" s="23"/>
      <c r="H725" s="24"/>
      <c r="I725" s="24"/>
      <c r="J725" s="24"/>
      <c r="K725" s="25"/>
      <c r="L725" s="1"/>
    </row>
    <row r="726" spans="1:12" ht="15.75" thickBot="1" x14ac:dyDescent="0.3">
      <c r="A726" s="26"/>
      <c r="B726" s="44"/>
      <c r="C726" s="45"/>
      <c r="D726" s="45"/>
      <c r="E726" s="45"/>
      <c r="F726" s="45"/>
      <c r="G726" s="45"/>
      <c r="H726" s="45"/>
      <c r="I726" s="45"/>
      <c r="J726" s="45"/>
      <c r="K726" s="46"/>
      <c r="L726" s="7"/>
    </row>
    <row r="727" spans="1:12" x14ac:dyDescent="0.25">
      <c r="A727" s="57"/>
      <c r="B727" s="14">
        <v>0</v>
      </c>
      <c r="C727" s="15"/>
      <c r="D727" s="15"/>
      <c r="E727" s="15"/>
      <c r="F727" s="15"/>
      <c r="G727" s="15"/>
      <c r="H727" s="16"/>
      <c r="I727" s="16"/>
      <c r="J727" s="16"/>
      <c r="K727" s="17"/>
      <c r="L727" s="2"/>
    </row>
    <row r="728" spans="1:12" x14ac:dyDescent="0.25">
      <c r="A728" s="58"/>
      <c r="B728" s="18">
        <v>4.1666666666666664E-2</v>
      </c>
      <c r="C728" s="19"/>
      <c r="D728" s="19"/>
      <c r="E728" s="19"/>
      <c r="F728" s="19"/>
      <c r="G728" s="19"/>
      <c r="H728" s="20"/>
      <c r="I728" s="20"/>
      <c r="J728" s="20"/>
      <c r="K728" s="21"/>
      <c r="L728" s="2"/>
    </row>
    <row r="729" spans="1:12" x14ac:dyDescent="0.25">
      <c r="A729" s="58"/>
      <c r="B729" s="18">
        <v>8.3333333333333329E-2</v>
      </c>
      <c r="C729" s="19"/>
      <c r="D729" s="19"/>
      <c r="E729" s="19"/>
      <c r="F729" s="19"/>
      <c r="G729" s="19"/>
      <c r="H729" s="20"/>
      <c r="I729" s="20"/>
      <c r="J729" s="20"/>
      <c r="K729" s="21"/>
      <c r="L729" s="2"/>
    </row>
    <row r="730" spans="1:12" x14ac:dyDescent="0.25">
      <c r="A730" s="58"/>
      <c r="B730" s="18">
        <v>0.125</v>
      </c>
      <c r="C730" s="19"/>
      <c r="D730" s="19"/>
      <c r="E730" s="19"/>
      <c r="F730" s="19"/>
      <c r="G730" s="19"/>
      <c r="H730" s="20"/>
      <c r="I730" s="20"/>
      <c r="J730" s="20"/>
      <c r="K730" s="21"/>
      <c r="L730" s="2"/>
    </row>
    <row r="731" spans="1:12" x14ac:dyDescent="0.25">
      <c r="A731" s="58"/>
      <c r="B731" s="18">
        <v>0.16666666666666666</v>
      </c>
      <c r="C731" s="19"/>
      <c r="D731" s="19"/>
      <c r="E731" s="19"/>
      <c r="F731" s="19"/>
      <c r="G731" s="19"/>
      <c r="H731" s="20"/>
      <c r="I731" s="20"/>
      <c r="J731" s="20"/>
      <c r="K731" s="21"/>
      <c r="L731" s="2"/>
    </row>
    <row r="732" spans="1:12" x14ac:dyDescent="0.25">
      <c r="A732" s="58"/>
      <c r="B732" s="18">
        <v>0.20833333333333334</v>
      </c>
      <c r="C732" s="19"/>
      <c r="D732" s="19"/>
      <c r="E732" s="19"/>
      <c r="F732" s="19"/>
      <c r="G732" s="19"/>
      <c r="H732" s="20"/>
      <c r="I732" s="20"/>
      <c r="J732" s="20"/>
      <c r="K732" s="21"/>
      <c r="L732" s="2"/>
    </row>
    <row r="733" spans="1:12" x14ac:dyDescent="0.25">
      <c r="A733" s="58"/>
      <c r="B733" s="18">
        <v>0.25</v>
      </c>
      <c r="C733" s="19"/>
      <c r="D733" s="19"/>
      <c r="E733" s="19"/>
      <c r="F733" s="19"/>
      <c r="G733" s="19"/>
      <c r="H733" s="20"/>
      <c r="I733" s="20"/>
      <c r="J733" s="20"/>
      <c r="K733" s="21"/>
      <c r="L733" s="2"/>
    </row>
    <row r="734" spans="1:12" x14ac:dyDescent="0.25">
      <c r="A734" s="58"/>
      <c r="B734" s="18">
        <v>0.29166666666666669</v>
      </c>
      <c r="C734" s="19"/>
      <c r="D734" s="19"/>
      <c r="E734" s="19"/>
      <c r="F734" s="19"/>
      <c r="G734" s="19"/>
      <c r="H734" s="20"/>
      <c r="I734" s="20"/>
      <c r="J734" s="20"/>
      <c r="K734" s="21"/>
      <c r="L734" s="2"/>
    </row>
    <row r="735" spans="1:12" x14ac:dyDescent="0.25">
      <c r="A735" s="58"/>
      <c r="B735" s="18">
        <v>0.33333333333333331</v>
      </c>
      <c r="C735" s="19"/>
      <c r="D735" s="19"/>
      <c r="E735" s="19"/>
      <c r="F735" s="19"/>
      <c r="G735" s="19"/>
      <c r="H735" s="20"/>
      <c r="I735" s="20"/>
      <c r="J735" s="20"/>
      <c r="K735" s="21"/>
      <c r="L735" s="2"/>
    </row>
    <row r="736" spans="1:12" x14ac:dyDescent="0.25">
      <c r="A736" s="58"/>
      <c r="B736" s="18">
        <v>0.375</v>
      </c>
      <c r="C736" s="19"/>
      <c r="D736" s="19"/>
      <c r="E736" s="19"/>
      <c r="F736" s="19"/>
      <c r="G736" s="19"/>
      <c r="H736" s="20"/>
      <c r="I736" s="20"/>
      <c r="J736" s="20"/>
      <c r="K736" s="21"/>
      <c r="L736" s="2"/>
    </row>
    <row r="737" spans="1:12" x14ac:dyDescent="0.25">
      <c r="A737" s="58"/>
      <c r="B737" s="18">
        <v>0.41666666666666669</v>
      </c>
      <c r="C737" s="19"/>
      <c r="D737" s="19"/>
      <c r="E737" s="19"/>
      <c r="F737" s="19"/>
      <c r="G737" s="19"/>
      <c r="H737" s="20"/>
      <c r="I737" s="20"/>
      <c r="J737" s="20"/>
      <c r="K737" s="21"/>
      <c r="L737" s="2"/>
    </row>
    <row r="738" spans="1:12" x14ac:dyDescent="0.25">
      <c r="A738" s="58"/>
      <c r="B738" s="18">
        <v>0.45833333333333331</v>
      </c>
      <c r="C738" s="19"/>
      <c r="D738" s="19"/>
      <c r="E738" s="19"/>
      <c r="F738" s="19"/>
      <c r="G738" s="19"/>
      <c r="H738" s="20"/>
      <c r="I738" s="20"/>
      <c r="J738" s="20"/>
      <c r="K738" s="21"/>
      <c r="L738" s="2"/>
    </row>
    <row r="739" spans="1:12" x14ac:dyDescent="0.25">
      <c r="A739" s="58"/>
      <c r="B739" s="18">
        <v>0.5</v>
      </c>
      <c r="C739" s="19"/>
      <c r="D739" s="19"/>
      <c r="E739" s="19"/>
      <c r="F739" s="19"/>
      <c r="G739" s="19"/>
      <c r="H739" s="20"/>
      <c r="I739" s="20"/>
      <c r="J739" s="20"/>
      <c r="K739" s="21"/>
      <c r="L739" s="2"/>
    </row>
    <row r="740" spans="1:12" x14ac:dyDescent="0.25">
      <c r="A740" s="58"/>
      <c r="B740" s="18">
        <v>0.54166666666666663</v>
      </c>
      <c r="C740" s="19"/>
      <c r="D740" s="19"/>
      <c r="E740" s="19"/>
      <c r="F740" s="19"/>
      <c r="G740" s="19"/>
      <c r="H740" s="20"/>
      <c r="I740" s="20"/>
      <c r="J740" s="20"/>
      <c r="K740" s="21"/>
      <c r="L740" s="2"/>
    </row>
    <row r="741" spans="1:12" x14ac:dyDescent="0.25">
      <c r="A741" s="58"/>
      <c r="B741" s="18">
        <v>0.58333333333333337</v>
      </c>
      <c r="C741" s="19"/>
      <c r="D741" s="19"/>
      <c r="E741" s="19"/>
      <c r="F741" s="19"/>
      <c r="G741" s="19"/>
      <c r="H741" s="20"/>
      <c r="I741" s="20"/>
      <c r="J741" s="20"/>
      <c r="K741" s="21"/>
      <c r="L741" s="2"/>
    </row>
    <row r="742" spans="1:12" x14ac:dyDescent="0.25">
      <c r="A742" s="58"/>
      <c r="B742" s="18">
        <v>0.625</v>
      </c>
      <c r="C742" s="19"/>
      <c r="D742" s="19"/>
      <c r="E742" s="19"/>
      <c r="F742" s="19"/>
      <c r="G742" s="19"/>
      <c r="H742" s="20"/>
      <c r="I742" s="20"/>
      <c r="J742" s="20"/>
      <c r="K742" s="21"/>
      <c r="L742" s="2"/>
    </row>
    <row r="743" spans="1:12" x14ac:dyDescent="0.25">
      <c r="A743" s="58"/>
      <c r="B743" s="18">
        <v>0.66666666666666663</v>
      </c>
      <c r="C743" s="19"/>
      <c r="D743" s="19"/>
      <c r="E743" s="19"/>
      <c r="F743" s="19"/>
      <c r="G743" s="19"/>
      <c r="H743" s="20"/>
      <c r="I743" s="20"/>
      <c r="J743" s="20"/>
      <c r="K743" s="21"/>
      <c r="L743" s="2"/>
    </row>
    <row r="744" spans="1:12" x14ac:dyDescent="0.25">
      <c r="A744" s="58"/>
      <c r="B744" s="18">
        <v>0.70833333333333337</v>
      </c>
      <c r="C744" s="19"/>
      <c r="D744" s="19"/>
      <c r="E744" s="19"/>
      <c r="F744" s="19"/>
      <c r="G744" s="19"/>
      <c r="H744" s="20"/>
      <c r="I744" s="20"/>
      <c r="J744" s="20"/>
      <c r="K744" s="21"/>
      <c r="L744" s="2"/>
    </row>
    <row r="745" spans="1:12" x14ac:dyDescent="0.25">
      <c r="A745" s="58"/>
      <c r="B745" s="18">
        <v>0.75</v>
      </c>
      <c r="C745" s="19"/>
      <c r="D745" s="19"/>
      <c r="E745" s="19"/>
      <c r="F745" s="19"/>
      <c r="G745" s="19"/>
      <c r="H745" s="20"/>
      <c r="I745" s="20"/>
      <c r="J745" s="20"/>
      <c r="K745" s="21"/>
      <c r="L745" s="2"/>
    </row>
    <row r="746" spans="1:12" x14ac:dyDescent="0.25">
      <c r="A746" s="58"/>
      <c r="B746" s="18">
        <v>0.79166666666666663</v>
      </c>
      <c r="C746" s="19"/>
      <c r="D746" s="19"/>
      <c r="E746" s="19"/>
      <c r="F746" s="19"/>
      <c r="G746" s="19"/>
      <c r="H746" s="20"/>
      <c r="I746" s="20"/>
      <c r="J746" s="20"/>
      <c r="K746" s="21"/>
      <c r="L746" s="2"/>
    </row>
    <row r="747" spans="1:12" x14ac:dyDescent="0.25">
      <c r="A747" s="58"/>
      <c r="B747" s="18">
        <v>0.83333333333333337</v>
      </c>
      <c r="C747" s="19"/>
      <c r="D747" s="19"/>
      <c r="E747" s="19"/>
      <c r="F747" s="19"/>
      <c r="G747" s="19"/>
      <c r="H747" s="20"/>
      <c r="I747" s="20"/>
      <c r="J747" s="20"/>
      <c r="K747" s="21"/>
      <c r="L747" s="2"/>
    </row>
    <row r="748" spans="1:12" x14ac:dyDescent="0.25">
      <c r="A748" s="58"/>
      <c r="B748" s="18">
        <v>0.875</v>
      </c>
      <c r="C748" s="19"/>
      <c r="D748" s="19"/>
      <c r="E748" s="19"/>
      <c r="F748" s="19"/>
      <c r="G748" s="19"/>
      <c r="H748" s="20"/>
      <c r="I748" s="20"/>
      <c r="J748" s="20"/>
      <c r="K748" s="21"/>
      <c r="L748" s="2"/>
    </row>
    <row r="749" spans="1:12" x14ac:dyDescent="0.25">
      <c r="A749" s="58"/>
      <c r="B749" s="18">
        <v>0.91666666666666663</v>
      </c>
      <c r="C749" s="19"/>
      <c r="D749" s="19"/>
      <c r="E749" s="19"/>
      <c r="F749" s="19"/>
      <c r="G749" s="19"/>
      <c r="H749" s="20"/>
      <c r="I749" s="20"/>
      <c r="J749" s="20"/>
      <c r="K749" s="21"/>
      <c r="L749" s="2"/>
    </row>
    <row r="750" spans="1:12" ht="15.75" thickBot="1" x14ac:dyDescent="0.3">
      <c r="A750" s="60"/>
      <c r="B750" s="35">
        <v>0.95833333333333337</v>
      </c>
      <c r="C750" s="23"/>
      <c r="D750" s="23"/>
      <c r="E750" s="23"/>
      <c r="F750" s="23"/>
      <c r="G750" s="23"/>
      <c r="H750" s="24"/>
      <c r="I750" s="24"/>
      <c r="J750" s="24"/>
      <c r="K750" s="25"/>
      <c r="L750" s="2"/>
    </row>
    <row r="751" spans="1:12" ht="15.75" thickBot="1" x14ac:dyDescent="0.3">
      <c r="A751" s="26"/>
      <c r="B751" s="44"/>
      <c r="C751" s="45"/>
      <c r="D751" s="45"/>
      <c r="E751" s="45"/>
      <c r="F751" s="45"/>
      <c r="G751" s="45"/>
      <c r="H751" s="45"/>
      <c r="I751" s="45"/>
      <c r="J751" s="45"/>
      <c r="K751" s="46"/>
      <c r="L751" s="7"/>
    </row>
    <row r="752" spans="1:12" x14ac:dyDescent="0.25">
      <c r="A752" s="57"/>
      <c r="B752" s="14">
        <v>0</v>
      </c>
      <c r="C752" s="15"/>
      <c r="D752" s="15"/>
      <c r="E752" s="15"/>
      <c r="F752" s="15"/>
      <c r="G752" s="15"/>
      <c r="H752" s="16"/>
      <c r="I752" s="16"/>
      <c r="J752" s="16"/>
      <c r="K752" s="17"/>
      <c r="L752" s="2"/>
    </row>
    <row r="753" spans="1:12" x14ac:dyDescent="0.25">
      <c r="A753" s="58"/>
      <c r="B753" s="18">
        <v>4.1666666666666664E-2</v>
      </c>
      <c r="C753" s="19"/>
      <c r="D753" s="19"/>
      <c r="E753" s="19"/>
      <c r="F753" s="19"/>
      <c r="G753" s="19"/>
      <c r="H753" s="20"/>
      <c r="I753" s="20"/>
      <c r="J753" s="20"/>
      <c r="K753" s="21"/>
      <c r="L753" s="2"/>
    </row>
    <row r="754" spans="1:12" x14ac:dyDescent="0.25">
      <c r="A754" s="58"/>
      <c r="B754" s="18">
        <v>8.3333333333333329E-2</v>
      </c>
      <c r="C754" s="19"/>
      <c r="D754" s="19"/>
      <c r="E754" s="19"/>
      <c r="F754" s="19"/>
      <c r="G754" s="19"/>
      <c r="H754" s="20"/>
      <c r="I754" s="20"/>
      <c r="J754" s="20"/>
      <c r="K754" s="21"/>
      <c r="L754" s="2"/>
    </row>
    <row r="755" spans="1:12" x14ac:dyDescent="0.25">
      <c r="A755" s="58"/>
      <c r="B755" s="18">
        <v>0.125</v>
      </c>
      <c r="C755" s="19"/>
      <c r="D755" s="19"/>
      <c r="E755" s="19"/>
      <c r="F755" s="19"/>
      <c r="G755" s="19"/>
      <c r="H755" s="20"/>
      <c r="I755" s="20"/>
      <c r="J755" s="20"/>
      <c r="K755" s="21"/>
      <c r="L755" s="2"/>
    </row>
    <row r="756" spans="1:12" x14ac:dyDescent="0.25">
      <c r="A756" s="58"/>
      <c r="B756" s="18">
        <v>0.16666666666666666</v>
      </c>
      <c r="C756" s="19"/>
      <c r="D756" s="19"/>
      <c r="E756" s="19"/>
      <c r="F756" s="19"/>
      <c r="G756" s="19"/>
      <c r="H756" s="20"/>
      <c r="I756" s="20"/>
      <c r="J756" s="20"/>
      <c r="K756" s="21"/>
      <c r="L756" s="2"/>
    </row>
    <row r="757" spans="1:12" x14ac:dyDescent="0.25">
      <c r="A757" s="58"/>
      <c r="B757" s="18">
        <v>0.20833333333333334</v>
      </c>
      <c r="C757" s="19"/>
      <c r="D757" s="19"/>
      <c r="E757" s="19"/>
      <c r="F757" s="19"/>
      <c r="G757" s="19"/>
      <c r="H757" s="20"/>
      <c r="I757" s="20"/>
      <c r="J757" s="20"/>
      <c r="K757" s="21"/>
      <c r="L757" s="2"/>
    </row>
    <row r="758" spans="1:12" x14ac:dyDescent="0.25">
      <c r="A758" s="58"/>
      <c r="B758" s="18">
        <v>0.25</v>
      </c>
      <c r="C758" s="19"/>
      <c r="D758" s="19"/>
      <c r="E758" s="19"/>
      <c r="F758" s="19"/>
      <c r="G758" s="19"/>
      <c r="H758" s="20"/>
      <c r="I758" s="20"/>
      <c r="J758" s="20"/>
      <c r="K758" s="21"/>
      <c r="L758" s="2"/>
    </row>
    <row r="759" spans="1:12" x14ac:dyDescent="0.25">
      <c r="A759" s="58"/>
      <c r="B759" s="18">
        <v>0.29166666666666669</v>
      </c>
      <c r="C759" s="19"/>
      <c r="D759" s="19"/>
      <c r="E759" s="19"/>
      <c r="F759" s="19"/>
      <c r="G759" s="19"/>
      <c r="H759" s="20"/>
      <c r="I759" s="20"/>
      <c r="J759" s="20"/>
      <c r="K759" s="21"/>
      <c r="L759" s="2"/>
    </row>
    <row r="760" spans="1:12" x14ac:dyDescent="0.25">
      <c r="A760" s="58"/>
      <c r="B760" s="18">
        <v>0.33333333333333331</v>
      </c>
      <c r="C760" s="19"/>
      <c r="D760" s="19"/>
      <c r="E760" s="19"/>
      <c r="F760" s="19"/>
      <c r="G760" s="19"/>
      <c r="H760" s="20"/>
      <c r="I760" s="20"/>
      <c r="J760" s="20"/>
      <c r="K760" s="21"/>
      <c r="L760" s="2"/>
    </row>
    <row r="761" spans="1:12" x14ac:dyDescent="0.25">
      <c r="A761" s="58"/>
      <c r="B761" s="18">
        <v>0.375</v>
      </c>
      <c r="C761" s="19"/>
      <c r="D761" s="19"/>
      <c r="E761" s="19"/>
      <c r="F761" s="19"/>
      <c r="G761" s="19"/>
      <c r="H761" s="20"/>
      <c r="I761" s="20"/>
      <c r="J761" s="20"/>
      <c r="K761" s="21"/>
      <c r="L761" s="2"/>
    </row>
    <row r="762" spans="1:12" x14ac:dyDescent="0.25">
      <c r="A762" s="58"/>
      <c r="B762" s="18">
        <v>0.41666666666666669</v>
      </c>
      <c r="C762" s="19"/>
      <c r="D762" s="19"/>
      <c r="E762" s="19"/>
      <c r="F762" s="19"/>
      <c r="G762" s="19"/>
      <c r="H762" s="20"/>
      <c r="I762" s="20"/>
      <c r="J762" s="20"/>
      <c r="K762" s="21"/>
      <c r="L762" s="2"/>
    </row>
    <row r="763" spans="1:12" x14ac:dyDescent="0.25">
      <c r="A763" s="58"/>
      <c r="B763" s="18">
        <v>0.45833333333333331</v>
      </c>
      <c r="C763" s="19"/>
      <c r="D763" s="19"/>
      <c r="E763" s="19"/>
      <c r="F763" s="19"/>
      <c r="G763" s="19"/>
      <c r="H763" s="20"/>
      <c r="I763" s="20"/>
      <c r="J763" s="20"/>
      <c r="K763" s="21"/>
      <c r="L763" s="2"/>
    </row>
    <row r="764" spans="1:12" x14ac:dyDescent="0.25">
      <c r="A764" s="58"/>
      <c r="B764" s="18">
        <v>0.5</v>
      </c>
      <c r="C764" s="19"/>
      <c r="D764" s="19"/>
      <c r="E764" s="19"/>
      <c r="F764" s="19"/>
      <c r="G764" s="19"/>
      <c r="H764" s="20"/>
      <c r="I764" s="20"/>
      <c r="J764" s="20"/>
      <c r="K764" s="21"/>
      <c r="L764" s="2"/>
    </row>
    <row r="765" spans="1:12" x14ac:dyDescent="0.25">
      <c r="A765" s="58"/>
      <c r="B765" s="18">
        <v>0.54166666666666663</v>
      </c>
      <c r="C765" s="19"/>
      <c r="D765" s="19"/>
      <c r="E765" s="19"/>
      <c r="F765" s="19"/>
      <c r="G765" s="19"/>
      <c r="H765" s="20"/>
      <c r="I765" s="20"/>
      <c r="J765" s="20"/>
      <c r="K765" s="21"/>
      <c r="L765" s="2"/>
    </row>
    <row r="766" spans="1:12" x14ac:dyDescent="0.25">
      <c r="A766" s="58"/>
      <c r="B766" s="18">
        <v>0.58333333333333337</v>
      </c>
      <c r="C766" s="19"/>
      <c r="D766" s="19"/>
      <c r="E766" s="19"/>
      <c r="F766" s="19"/>
      <c r="G766" s="19"/>
      <c r="H766" s="20"/>
      <c r="I766" s="20"/>
      <c r="J766" s="20"/>
      <c r="K766" s="21"/>
      <c r="L766" s="2"/>
    </row>
    <row r="767" spans="1:12" x14ac:dyDescent="0.25">
      <c r="A767" s="58"/>
      <c r="B767" s="18">
        <v>0.625</v>
      </c>
      <c r="C767" s="19"/>
      <c r="D767" s="19"/>
      <c r="E767" s="19"/>
      <c r="F767" s="19"/>
      <c r="G767" s="19"/>
      <c r="H767" s="20"/>
      <c r="I767" s="20"/>
      <c r="J767" s="20"/>
      <c r="K767" s="21"/>
      <c r="L767" s="2"/>
    </row>
    <row r="768" spans="1:12" x14ac:dyDescent="0.25">
      <c r="A768" s="58"/>
      <c r="B768" s="18">
        <v>0.66666666666666663</v>
      </c>
      <c r="C768" s="19"/>
      <c r="D768" s="19"/>
      <c r="E768" s="19"/>
      <c r="F768" s="19"/>
      <c r="G768" s="19"/>
      <c r="H768" s="20"/>
      <c r="I768" s="20"/>
      <c r="J768" s="20"/>
      <c r="K768" s="21"/>
      <c r="L768" s="2"/>
    </row>
    <row r="769" spans="1:12" x14ac:dyDescent="0.25">
      <c r="A769" s="58"/>
      <c r="B769" s="18">
        <v>0.70833333333333337</v>
      </c>
      <c r="C769" s="19"/>
      <c r="D769" s="19"/>
      <c r="E769" s="19"/>
      <c r="F769" s="19"/>
      <c r="G769" s="19"/>
      <c r="H769" s="20"/>
      <c r="I769" s="20"/>
      <c r="J769" s="20"/>
      <c r="K769" s="21"/>
      <c r="L769" s="2"/>
    </row>
    <row r="770" spans="1:12" x14ac:dyDescent="0.25">
      <c r="A770" s="58"/>
      <c r="B770" s="18">
        <v>0.75</v>
      </c>
      <c r="C770" s="19"/>
      <c r="D770" s="19"/>
      <c r="E770" s="19"/>
      <c r="F770" s="19"/>
      <c r="G770" s="19"/>
      <c r="H770" s="20"/>
      <c r="I770" s="20"/>
      <c r="J770" s="20"/>
      <c r="K770" s="21"/>
      <c r="L770" s="2"/>
    </row>
    <row r="771" spans="1:12" x14ac:dyDescent="0.25">
      <c r="A771" s="58"/>
      <c r="B771" s="18">
        <v>0.79166666666666663</v>
      </c>
      <c r="C771" s="19"/>
      <c r="D771" s="19"/>
      <c r="E771" s="19"/>
      <c r="F771" s="19"/>
      <c r="G771" s="19"/>
      <c r="H771" s="20"/>
      <c r="I771" s="20"/>
      <c r="J771" s="20"/>
      <c r="K771" s="21"/>
      <c r="L771" s="2"/>
    </row>
    <row r="772" spans="1:12" x14ac:dyDescent="0.25">
      <c r="A772" s="58"/>
      <c r="B772" s="18">
        <v>0.83333333333333337</v>
      </c>
      <c r="C772" s="19"/>
      <c r="D772" s="19"/>
      <c r="E772" s="19"/>
      <c r="F772" s="19"/>
      <c r="G772" s="19"/>
      <c r="H772" s="20"/>
      <c r="I772" s="20"/>
      <c r="J772" s="20"/>
      <c r="K772" s="21"/>
      <c r="L772" s="2"/>
    </row>
    <row r="773" spans="1:12" x14ac:dyDescent="0.25">
      <c r="A773" s="58"/>
      <c r="B773" s="18">
        <v>0.875</v>
      </c>
      <c r="C773" s="19"/>
      <c r="D773" s="19"/>
      <c r="E773" s="19"/>
      <c r="F773" s="19"/>
      <c r="G773" s="19"/>
      <c r="H773" s="20"/>
      <c r="I773" s="20"/>
      <c r="J773" s="20"/>
      <c r="K773" s="21"/>
      <c r="L773" s="2"/>
    </row>
    <row r="774" spans="1:12" x14ac:dyDescent="0.25">
      <c r="A774" s="58"/>
      <c r="B774" s="18">
        <v>0.91666666666666663</v>
      </c>
      <c r="C774" s="19"/>
      <c r="D774" s="19"/>
      <c r="E774" s="19"/>
      <c r="F774" s="19"/>
      <c r="G774" s="19"/>
      <c r="H774" s="20"/>
      <c r="I774" s="20"/>
      <c r="J774" s="20"/>
      <c r="K774" s="21"/>
      <c r="L774" s="2"/>
    </row>
    <row r="775" spans="1:12" ht="15.75" thickBot="1" x14ac:dyDescent="0.3">
      <c r="A775" s="60"/>
      <c r="B775" s="35">
        <v>0.95833333333333337</v>
      </c>
      <c r="C775" s="23"/>
      <c r="D775" s="23"/>
      <c r="E775" s="23"/>
      <c r="F775" s="23"/>
      <c r="G775" s="23"/>
      <c r="H775" s="24"/>
      <c r="I775" s="24"/>
      <c r="J775" s="24"/>
      <c r="K775" s="25"/>
      <c r="L775" s="2"/>
    </row>
    <row r="776" spans="1:12" ht="15.75" thickBot="1" x14ac:dyDescent="0.3">
      <c r="A776" s="26"/>
      <c r="B776" s="44"/>
      <c r="C776" s="45"/>
      <c r="D776" s="45"/>
      <c r="E776" s="45"/>
      <c r="F776" s="45"/>
      <c r="G776" s="45"/>
      <c r="H776" s="45"/>
      <c r="I776" s="45"/>
      <c r="J776" s="45"/>
      <c r="K776" s="46"/>
      <c r="L776" s="7"/>
    </row>
    <row r="777" spans="1:12" ht="15.75" thickBot="1" x14ac:dyDescent="0.3">
      <c r="A777" s="11"/>
      <c r="B777" s="42"/>
      <c r="C777" s="7"/>
      <c r="D777" s="7"/>
      <c r="E777" s="7"/>
      <c r="F777" s="7"/>
      <c r="G777" s="7"/>
      <c r="H777" s="7"/>
      <c r="I777" s="7"/>
      <c r="J777" s="7"/>
      <c r="K777" s="7"/>
      <c r="L777" s="7"/>
    </row>
    <row r="778" spans="1:12" ht="15.75" thickBot="1" x14ac:dyDescent="0.3">
      <c r="A778" s="37" t="s">
        <v>73</v>
      </c>
      <c r="B778" s="38"/>
      <c r="C778" s="39"/>
      <c r="D778" s="39"/>
      <c r="E778" s="39"/>
      <c r="F778" s="39"/>
      <c r="G778" s="39"/>
      <c r="H778" s="39"/>
      <c r="I778" s="39"/>
      <c r="J778" s="39"/>
      <c r="K778" s="40"/>
      <c r="L778" s="5"/>
    </row>
    <row r="779" spans="1:12" x14ac:dyDescent="0.25">
      <c r="A779" s="61">
        <v>46054</v>
      </c>
      <c r="B779" s="47"/>
      <c r="C779" s="48">
        <f t="shared" ref="C779:K779" si="28">C26</f>
        <v>6.23</v>
      </c>
      <c r="D779" s="48">
        <f t="shared" si="28"/>
        <v>73.91</v>
      </c>
      <c r="E779" s="48">
        <f t="shared" si="28"/>
        <v>1.1399999999999999</v>
      </c>
      <c r="F779" s="48">
        <f t="shared" si="28"/>
        <v>0.74</v>
      </c>
      <c r="G779" s="48">
        <f t="shared" si="28"/>
        <v>17.48</v>
      </c>
      <c r="H779" s="48">
        <f t="shared" si="28"/>
        <v>13.93</v>
      </c>
      <c r="I779" s="48">
        <f t="shared" si="28"/>
        <v>35.520000000000003</v>
      </c>
      <c r="J779" s="48">
        <f t="shared" si="28"/>
        <v>940.95</v>
      </c>
      <c r="K779" s="49">
        <f t="shared" si="28"/>
        <v>900425.66</v>
      </c>
      <c r="L779" s="8"/>
    </row>
    <row r="780" spans="1:12" x14ac:dyDescent="0.25">
      <c r="A780" s="62">
        <v>46055</v>
      </c>
      <c r="B780" s="50"/>
      <c r="C780" s="51">
        <f t="shared" ref="C780:K780" si="29">C51</f>
        <v>6.2</v>
      </c>
      <c r="D780" s="51">
        <f t="shared" si="29"/>
        <v>76.180000000000007</v>
      </c>
      <c r="E780" s="51">
        <f t="shared" si="29"/>
        <v>0.83</v>
      </c>
      <c r="F780" s="51">
        <f t="shared" si="29"/>
        <v>0.52</v>
      </c>
      <c r="G780" s="51">
        <f t="shared" si="29"/>
        <v>17.489999999999998</v>
      </c>
      <c r="H780" s="51">
        <f t="shared" si="29"/>
        <v>14.14</v>
      </c>
      <c r="I780" s="51">
        <f t="shared" si="29"/>
        <v>38.36</v>
      </c>
      <c r="J780" s="51">
        <f t="shared" si="29"/>
        <v>935.64</v>
      </c>
      <c r="K780" s="52">
        <f t="shared" si="29"/>
        <v>855193.13</v>
      </c>
      <c r="L780" s="8"/>
    </row>
    <row r="781" spans="1:12" x14ac:dyDescent="0.25">
      <c r="A781" s="62">
        <v>46056</v>
      </c>
      <c r="B781" s="50"/>
      <c r="C781" s="51">
        <f t="shared" ref="C781:K781" si="30">C76</f>
        <v>5.47</v>
      </c>
      <c r="D781" s="51">
        <f t="shared" si="30"/>
        <v>70.44</v>
      </c>
      <c r="E781" s="51">
        <f t="shared" si="30"/>
        <v>1.35</v>
      </c>
      <c r="F781" s="51">
        <f t="shared" si="30"/>
        <v>1</v>
      </c>
      <c r="G781" s="51">
        <f t="shared" si="30"/>
        <v>17.46</v>
      </c>
      <c r="H781" s="51">
        <f t="shared" si="30"/>
        <v>14.37</v>
      </c>
      <c r="I781" s="51">
        <f t="shared" si="30"/>
        <v>41.42</v>
      </c>
      <c r="J781" s="51">
        <f t="shared" si="30"/>
        <v>930.35</v>
      </c>
      <c r="K781" s="52">
        <f t="shared" si="30"/>
        <v>872596.94</v>
      </c>
      <c r="L781" s="8"/>
    </row>
    <row r="782" spans="1:12" x14ac:dyDescent="0.25">
      <c r="A782" s="62">
        <v>46057</v>
      </c>
      <c r="B782" s="50"/>
      <c r="C782" s="51">
        <f t="shared" ref="C782:K782" si="31">C101</f>
        <v>4.2699999999999996</v>
      </c>
      <c r="D782" s="51">
        <f t="shared" si="31"/>
        <v>71.05</v>
      </c>
      <c r="E782" s="51">
        <f t="shared" si="31"/>
        <v>1.96</v>
      </c>
      <c r="F782" s="51">
        <f t="shared" si="31"/>
        <v>1.77</v>
      </c>
      <c r="G782" s="51">
        <f t="shared" si="31"/>
        <v>17.48</v>
      </c>
      <c r="H782" s="51">
        <f t="shared" si="31"/>
        <v>14.22</v>
      </c>
      <c r="I782" s="51">
        <f t="shared" si="31"/>
        <v>39.81</v>
      </c>
      <c r="J782" s="51">
        <f t="shared" si="31"/>
        <v>935.03</v>
      </c>
      <c r="K782" s="52">
        <f t="shared" si="31"/>
        <v>910456.78</v>
      </c>
      <c r="L782" s="8"/>
    </row>
    <row r="783" spans="1:12" x14ac:dyDescent="0.25">
      <c r="A783" s="62">
        <v>46058</v>
      </c>
      <c r="B783" s="50"/>
      <c r="C783" s="51">
        <f t="shared" ref="C783:K783" si="32">C126</f>
        <v>4.1100000000000003</v>
      </c>
      <c r="D783" s="51">
        <f t="shared" si="32"/>
        <v>71.36</v>
      </c>
      <c r="E783" s="51">
        <f t="shared" si="32"/>
        <v>2.0299999999999998</v>
      </c>
      <c r="F783" s="51">
        <f t="shared" si="32"/>
        <v>1.3</v>
      </c>
      <c r="G783" s="51">
        <f t="shared" si="32"/>
        <v>17.489999999999998</v>
      </c>
      <c r="H783" s="51">
        <f t="shared" si="32"/>
        <v>14.09</v>
      </c>
      <c r="I783" s="51">
        <f t="shared" si="32"/>
        <v>38.700000000000003</v>
      </c>
      <c r="J783" s="51">
        <f t="shared" si="32"/>
        <v>940.27</v>
      </c>
      <c r="K783" s="52">
        <f t="shared" si="32"/>
        <v>970470.21</v>
      </c>
      <c r="L783" s="8"/>
    </row>
    <row r="784" spans="1:12" x14ac:dyDescent="0.25">
      <c r="A784" s="62">
        <v>46059</v>
      </c>
      <c r="B784" s="50"/>
      <c r="C784" s="51">
        <f t="shared" ref="C784:K784" si="33">C151</f>
        <v>4.2300000000000004</v>
      </c>
      <c r="D784" s="51">
        <f t="shared" si="33"/>
        <v>71.58</v>
      </c>
      <c r="E784" s="51">
        <f t="shared" si="33"/>
        <v>2.71</v>
      </c>
      <c r="F784" s="51">
        <f t="shared" si="33"/>
        <v>2.12</v>
      </c>
      <c r="G784" s="51">
        <f>G151</f>
        <v>17.45</v>
      </c>
      <c r="H784" s="51">
        <f t="shared" si="33"/>
        <v>14.22</v>
      </c>
      <c r="I784" s="51">
        <f t="shared" si="33"/>
        <v>40.200000000000003</v>
      </c>
      <c r="J784" s="51">
        <f t="shared" si="33"/>
        <v>935.79</v>
      </c>
      <c r="K784" s="52">
        <f t="shared" si="33"/>
        <v>902668.92</v>
      </c>
      <c r="L784" s="8"/>
    </row>
    <row r="785" spans="1:12" x14ac:dyDescent="0.25">
      <c r="A785" s="62">
        <v>46060</v>
      </c>
      <c r="B785" s="50"/>
      <c r="C785" s="51">
        <f t="shared" ref="C785:K785" si="34">C176</f>
        <v>3.84</v>
      </c>
      <c r="D785" s="51">
        <f t="shared" si="34"/>
        <v>73.03</v>
      </c>
      <c r="E785" s="51">
        <f t="shared" si="34"/>
        <v>2.44</v>
      </c>
      <c r="F785" s="51">
        <f t="shared" si="34"/>
        <v>0.98</v>
      </c>
      <c r="G785" s="51">
        <f t="shared" si="34"/>
        <v>17.46</v>
      </c>
      <c r="H785" s="51">
        <f t="shared" si="34"/>
        <v>14.31</v>
      </c>
      <c r="I785" s="51">
        <f t="shared" si="34"/>
        <v>41.16</v>
      </c>
      <c r="J785" s="51">
        <f t="shared" si="34"/>
        <v>933.1</v>
      </c>
      <c r="K785" s="52">
        <f t="shared" si="34"/>
        <v>915394.76</v>
      </c>
      <c r="L785" s="8"/>
    </row>
    <row r="786" spans="1:12" x14ac:dyDescent="0.25">
      <c r="A786" s="62">
        <v>46061</v>
      </c>
      <c r="B786" s="50"/>
      <c r="C786" s="51">
        <f t="shared" ref="C786:K786" si="35">C201</f>
        <v>4.63</v>
      </c>
      <c r="D786" s="51">
        <f t="shared" si="35"/>
        <v>72.62</v>
      </c>
      <c r="E786" s="51">
        <f t="shared" si="35"/>
        <v>2.37</v>
      </c>
      <c r="F786" s="51">
        <f t="shared" si="35"/>
        <v>2.29</v>
      </c>
      <c r="G786" s="51">
        <f t="shared" si="35"/>
        <v>17.46</v>
      </c>
      <c r="H786" s="51">
        <f t="shared" si="35"/>
        <v>14.31</v>
      </c>
      <c r="I786" s="51">
        <f t="shared" si="35"/>
        <v>38.130000000000003</v>
      </c>
      <c r="J786" s="51">
        <f t="shared" si="35"/>
        <v>924.2</v>
      </c>
      <c r="K786" s="52">
        <f t="shared" si="35"/>
        <v>940523.08</v>
      </c>
      <c r="L786" s="8"/>
    </row>
    <row r="787" spans="1:12" x14ac:dyDescent="0.25">
      <c r="A787" s="62">
        <v>46062</v>
      </c>
      <c r="B787" s="50"/>
      <c r="C787" s="51">
        <f t="shared" ref="C787:K787" si="36">C226</f>
        <v>5.53</v>
      </c>
      <c r="D787" s="51">
        <f t="shared" si="36"/>
        <v>70.77</v>
      </c>
      <c r="E787" s="51">
        <f t="shared" si="36"/>
        <v>1.1499999999999999</v>
      </c>
      <c r="F787" s="51">
        <f t="shared" si="36"/>
        <v>4.93</v>
      </c>
      <c r="G787" s="51">
        <f t="shared" si="36"/>
        <v>17.38</v>
      </c>
      <c r="H787" s="51">
        <f t="shared" si="36"/>
        <v>14.17</v>
      </c>
      <c r="I787" s="51">
        <f t="shared" si="36"/>
        <v>37.04</v>
      </c>
      <c r="J787" s="51">
        <f t="shared" si="36"/>
        <v>929.44</v>
      </c>
      <c r="K787" s="52">
        <f t="shared" si="36"/>
        <v>931869.56</v>
      </c>
      <c r="L787" s="8"/>
    </row>
    <row r="788" spans="1:12" x14ac:dyDescent="0.25">
      <c r="A788" s="62">
        <v>46063</v>
      </c>
      <c r="B788" s="50"/>
      <c r="C788" s="51">
        <f t="shared" ref="C788:K788" si="37">C251</f>
        <v>5.73</v>
      </c>
      <c r="D788" s="51">
        <f t="shared" si="37"/>
        <v>71.959999999999994</v>
      </c>
      <c r="E788" s="51">
        <f t="shared" si="37"/>
        <v>1.73</v>
      </c>
      <c r="F788" s="51">
        <f t="shared" si="37"/>
        <v>9.0500000000000007</v>
      </c>
      <c r="G788" s="51">
        <f t="shared" si="37"/>
        <v>17.36</v>
      </c>
      <c r="H788" s="51">
        <f t="shared" si="37"/>
        <v>14.39</v>
      </c>
      <c r="I788" s="51">
        <f t="shared" si="37"/>
        <v>39.99</v>
      </c>
      <c r="J788" s="51">
        <f t="shared" si="37"/>
        <v>924.31</v>
      </c>
      <c r="K788" s="52">
        <f t="shared" si="37"/>
        <v>935704.89</v>
      </c>
      <c r="L788" s="8"/>
    </row>
    <row r="789" spans="1:12" x14ac:dyDescent="0.25">
      <c r="A789" s="62">
        <v>46064</v>
      </c>
      <c r="B789" s="50"/>
      <c r="C789" s="51">
        <f t="shared" ref="C789:K789" si="38">C276</f>
        <v>6.35</v>
      </c>
      <c r="D789" s="51">
        <f t="shared" si="38"/>
        <v>73.959999999999994</v>
      </c>
      <c r="E789" s="51">
        <f t="shared" si="38"/>
        <v>2.2400000000000002</v>
      </c>
      <c r="F789" s="51">
        <f t="shared" si="38"/>
        <v>1.22</v>
      </c>
      <c r="G789" s="51">
        <f t="shared" si="38"/>
        <v>17.440000000000001</v>
      </c>
      <c r="H789" s="51">
        <f t="shared" si="38"/>
        <v>14.02</v>
      </c>
      <c r="I789" s="51">
        <f t="shared" si="38"/>
        <v>35.1</v>
      </c>
      <c r="J789" s="51">
        <f t="shared" si="38"/>
        <v>933.58</v>
      </c>
      <c r="K789" s="52">
        <f t="shared" si="38"/>
        <v>996070.42</v>
      </c>
      <c r="L789" s="8"/>
    </row>
    <row r="790" spans="1:12" x14ac:dyDescent="0.25">
      <c r="A790" s="62">
        <v>46065</v>
      </c>
      <c r="B790" s="50"/>
      <c r="C790" s="51">
        <f t="shared" ref="C790:K790" si="39">C301</f>
        <v>6.8</v>
      </c>
      <c r="D790" s="51">
        <f t="shared" si="39"/>
        <v>74.19</v>
      </c>
      <c r="E790" s="51">
        <f t="shared" si="39"/>
        <v>2.0499999999999998</v>
      </c>
      <c r="F790" s="51">
        <f t="shared" si="39"/>
        <v>0.52</v>
      </c>
      <c r="G790" s="51">
        <f t="shared" si="39"/>
        <v>17.440000000000001</v>
      </c>
      <c r="H790" s="51">
        <f t="shared" si="39"/>
        <v>13.83</v>
      </c>
      <c r="I790" s="51">
        <f t="shared" si="39"/>
        <v>33.68</v>
      </c>
      <c r="J790" s="51">
        <f t="shared" si="39"/>
        <v>941.89</v>
      </c>
      <c r="K790" s="52">
        <f t="shared" si="39"/>
        <v>973233.12</v>
      </c>
      <c r="L790" s="8"/>
    </row>
    <row r="791" spans="1:12" x14ac:dyDescent="0.25">
      <c r="A791" s="62">
        <v>46066</v>
      </c>
      <c r="B791" s="50"/>
      <c r="C791" s="51">
        <f t="shared" ref="C791:K791" si="40">C326</f>
        <v>7.6</v>
      </c>
      <c r="D791" s="51">
        <f t="shared" si="40"/>
        <v>74.98</v>
      </c>
      <c r="E791" s="51">
        <f t="shared" si="40"/>
        <v>1.86</v>
      </c>
      <c r="F791" s="51">
        <f t="shared" si="40"/>
        <v>0.27</v>
      </c>
      <c r="G791" s="51">
        <f t="shared" si="40"/>
        <v>17.41</v>
      </c>
      <c r="H791" s="51">
        <f t="shared" si="40"/>
        <v>13.76</v>
      </c>
      <c r="I791" s="51">
        <f t="shared" si="40"/>
        <v>33.11</v>
      </c>
      <c r="J791" s="51">
        <f t="shared" si="40"/>
        <v>944.93</v>
      </c>
      <c r="K791" s="52">
        <f t="shared" si="40"/>
        <v>961089.79</v>
      </c>
      <c r="L791" s="8"/>
    </row>
    <row r="792" spans="1:12" x14ac:dyDescent="0.25">
      <c r="A792" s="62">
        <v>46067</v>
      </c>
      <c r="B792" s="50"/>
      <c r="C792" s="51">
        <f t="shared" ref="C792:K792" si="41">C351</f>
        <v>7.28</v>
      </c>
      <c r="D792" s="51">
        <f t="shared" si="41"/>
        <v>75.680000000000007</v>
      </c>
      <c r="E792" s="51">
        <f t="shared" si="41"/>
        <v>2.2200000000000002</v>
      </c>
      <c r="F792" s="51">
        <f t="shared" si="41"/>
        <v>0.62</v>
      </c>
      <c r="G792" s="51">
        <f t="shared" si="41"/>
        <v>17.38</v>
      </c>
      <c r="H792" s="51">
        <f t="shared" si="41"/>
        <v>13.82</v>
      </c>
      <c r="I792" s="51">
        <f t="shared" si="41"/>
        <v>34.89</v>
      </c>
      <c r="J792" s="51">
        <f t="shared" si="41"/>
        <v>946.66</v>
      </c>
      <c r="K792" s="52">
        <f t="shared" si="41"/>
        <v>941477.93</v>
      </c>
      <c r="L792" s="8"/>
    </row>
    <row r="793" spans="1:12" x14ac:dyDescent="0.25">
      <c r="A793" s="62">
        <v>46068</v>
      </c>
      <c r="B793" s="50"/>
      <c r="C793" s="51">
        <f t="shared" ref="C793:K793" si="42">C376</f>
        <v>6.78</v>
      </c>
      <c r="D793" s="51">
        <f t="shared" si="42"/>
        <v>73.349999999999994</v>
      </c>
      <c r="E793" s="51">
        <f t="shared" si="42"/>
        <v>2.3199999999999998</v>
      </c>
      <c r="F793" s="51">
        <f t="shared" si="42"/>
        <v>3.32</v>
      </c>
      <c r="G793" s="51">
        <f t="shared" si="42"/>
        <v>17.329999999999998</v>
      </c>
      <c r="H793" s="51">
        <f t="shared" si="42"/>
        <v>13.93</v>
      </c>
      <c r="I793" s="51">
        <f t="shared" si="42"/>
        <v>36.79</v>
      </c>
      <c r="J793" s="51">
        <f t="shared" si="42"/>
        <v>944.75</v>
      </c>
      <c r="K793" s="52">
        <f t="shared" si="42"/>
        <v>927760.49</v>
      </c>
      <c r="L793" s="8"/>
    </row>
    <row r="794" spans="1:12" x14ac:dyDescent="0.25">
      <c r="A794" s="62">
        <v>46069</v>
      </c>
      <c r="B794" s="50"/>
      <c r="C794" s="51">
        <f t="shared" ref="C794:K794" si="43">C401</f>
        <v>6.83</v>
      </c>
      <c r="D794" s="51">
        <f t="shared" si="43"/>
        <v>75.17</v>
      </c>
      <c r="E794" s="51">
        <f t="shared" si="43"/>
        <v>1.95</v>
      </c>
      <c r="F794" s="51">
        <f t="shared" si="43"/>
        <v>1.49</v>
      </c>
      <c r="G794" s="51">
        <f t="shared" si="43"/>
        <v>17.420000000000002</v>
      </c>
      <c r="H794" s="51">
        <f t="shared" si="43"/>
        <v>13.78</v>
      </c>
      <c r="I794" s="51">
        <f t="shared" si="43"/>
        <v>36.11</v>
      </c>
      <c r="J794" s="51">
        <f t="shared" si="43"/>
        <v>953.01</v>
      </c>
      <c r="K794" s="52">
        <f t="shared" si="43"/>
        <v>1001955.97</v>
      </c>
      <c r="L794" s="8"/>
    </row>
    <row r="795" spans="1:12" x14ac:dyDescent="0.25">
      <c r="A795" s="62">
        <v>46070</v>
      </c>
      <c r="B795" s="50"/>
      <c r="C795" s="51">
        <f t="shared" ref="C795:K795" si="44">C426</f>
        <v>7.18</v>
      </c>
      <c r="D795" s="51">
        <f t="shared" si="44"/>
        <v>74.44</v>
      </c>
      <c r="E795" s="51">
        <f t="shared" si="44"/>
        <v>2.33</v>
      </c>
      <c r="F795" s="51">
        <f t="shared" si="44"/>
        <v>1.41</v>
      </c>
      <c r="G795" s="51">
        <f t="shared" si="44"/>
        <v>17.45</v>
      </c>
      <c r="H795" s="51">
        <f t="shared" si="44"/>
        <v>13.58</v>
      </c>
      <c r="I795" s="51">
        <f t="shared" si="44"/>
        <v>33.14</v>
      </c>
      <c r="J795" s="51">
        <f t="shared" si="44"/>
        <v>957.67</v>
      </c>
      <c r="K795" s="52">
        <f t="shared" si="44"/>
        <v>1011303.3</v>
      </c>
      <c r="L795" s="8"/>
    </row>
    <row r="796" spans="1:12" x14ac:dyDescent="0.25">
      <c r="A796" s="62">
        <v>46071</v>
      </c>
      <c r="B796" s="50"/>
      <c r="C796" s="51">
        <f t="shared" ref="C796:K796" si="45">C451</f>
        <v>6.16</v>
      </c>
      <c r="D796" s="51">
        <f t="shared" si="45"/>
        <v>74.64</v>
      </c>
      <c r="E796" s="51">
        <f t="shared" si="45"/>
        <v>2.4</v>
      </c>
      <c r="F796" s="51">
        <f t="shared" si="45"/>
        <v>3.39</v>
      </c>
      <c r="G796" s="51">
        <f t="shared" si="45"/>
        <v>17.52</v>
      </c>
      <c r="H796" s="51">
        <f t="shared" si="45"/>
        <v>13.57</v>
      </c>
      <c r="I796" s="51">
        <f t="shared" si="45"/>
        <v>33.42</v>
      </c>
      <c r="J796" s="51">
        <f t="shared" si="45"/>
        <v>959.33</v>
      </c>
      <c r="K796" s="52">
        <f t="shared" si="45"/>
        <v>1007477.49</v>
      </c>
      <c r="L796" s="8"/>
    </row>
    <row r="797" spans="1:12" x14ac:dyDescent="0.25">
      <c r="A797" s="62">
        <v>46072</v>
      </c>
      <c r="B797" s="50"/>
      <c r="C797" s="51">
        <f t="shared" ref="C797:K797" si="46">C476</f>
        <v>5.63</v>
      </c>
      <c r="D797" s="51">
        <f t="shared" si="46"/>
        <v>73.540000000000006</v>
      </c>
      <c r="E797" s="51">
        <f t="shared" si="46"/>
        <v>2.2599999999999998</v>
      </c>
      <c r="F797" s="51">
        <f t="shared" si="46"/>
        <v>2.8</v>
      </c>
      <c r="G797" s="51">
        <f t="shared" si="46"/>
        <v>17.32</v>
      </c>
      <c r="H797" s="51">
        <f t="shared" si="46"/>
        <v>13.57</v>
      </c>
      <c r="I797" s="51">
        <f t="shared" si="46"/>
        <v>33.71</v>
      </c>
      <c r="J797" s="51">
        <f t="shared" si="46"/>
        <v>960.06</v>
      </c>
      <c r="K797" s="52">
        <f t="shared" si="46"/>
        <v>977375.65</v>
      </c>
      <c r="L797" s="8"/>
    </row>
    <row r="798" spans="1:12" x14ac:dyDescent="0.25">
      <c r="A798" s="62">
        <v>46073</v>
      </c>
      <c r="B798" s="50"/>
      <c r="C798" s="51">
        <f t="shared" ref="C798:K798" si="47">C501</f>
        <v>6.96</v>
      </c>
      <c r="D798" s="51">
        <f t="shared" si="47"/>
        <v>70.540000000000006</v>
      </c>
      <c r="E798" s="51">
        <f t="shared" si="47"/>
        <v>1.92</v>
      </c>
      <c r="F798" s="51">
        <f t="shared" si="47"/>
        <v>7.5</v>
      </c>
      <c r="G798" s="51">
        <f t="shared" si="47"/>
        <v>17.260000000000002</v>
      </c>
      <c r="H798" s="51">
        <f t="shared" si="47"/>
        <v>13.64</v>
      </c>
      <c r="I798" s="51">
        <f t="shared" si="47"/>
        <v>34.53</v>
      </c>
      <c r="J798" s="51">
        <f t="shared" si="47"/>
        <v>957.79</v>
      </c>
      <c r="K798" s="52">
        <f t="shared" si="47"/>
        <v>951719.86</v>
      </c>
      <c r="L798" s="8"/>
    </row>
    <row r="799" spans="1:12" x14ac:dyDescent="0.25">
      <c r="A799" s="62">
        <v>46074</v>
      </c>
      <c r="B799" s="50"/>
      <c r="C799" s="51">
        <f t="shared" ref="C799:K799" si="48">C526</f>
        <v>6.64</v>
      </c>
      <c r="D799" s="51">
        <f t="shared" si="48"/>
        <v>68.239999999999995</v>
      </c>
      <c r="E799" s="51">
        <f t="shared" si="48"/>
        <v>1.74</v>
      </c>
      <c r="F799" s="51">
        <f t="shared" si="48"/>
        <v>13.98</v>
      </c>
      <c r="G799" s="51">
        <f t="shared" si="48"/>
        <v>17.22</v>
      </c>
      <c r="H799" s="51">
        <f t="shared" si="48"/>
        <v>13.84</v>
      </c>
      <c r="I799" s="51">
        <f t="shared" si="48"/>
        <v>35.11</v>
      </c>
      <c r="J799" s="51">
        <f t="shared" si="48"/>
        <v>945.91</v>
      </c>
      <c r="K799" s="52">
        <f t="shared" si="48"/>
        <v>934425.46</v>
      </c>
      <c r="L799" s="8"/>
    </row>
    <row r="800" spans="1:12" x14ac:dyDescent="0.25">
      <c r="A800" s="62">
        <v>46075</v>
      </c>
      <c r="B800" s="50"/>
      <c r="C800" s="51">
        <f t="shared" ref="C800:K800" si="49">C551</f>
        <v>6.25</v>
      </c>
      <c r="D800" s="51">
        <f t="shared" si="49"/>
        <v>71.86</v>
      </c>
      <c r="E800" s="51">
        <f t="shared" si="49"/>
        <v>2.2400000000000002</v>
      </c>
      <c r="F800" s="51">
        <f t="shared" si="49"/>
        <v>7.23</v>
      </c>
      <c r="G800" s="51">
        <f t="shared" si="49"/>
        <v>17.329999999999998</v>
      </c>
      <c r="H800" s="51">
        <f t="shared" si="49"/>
        <v>14.19</v>
      </c>
      <c r="I800" s="51">
        <f t="shared" si="49"/>
        <v>37.880000000000003</v>
      </c>
      <c r="J800" s="51">
        <f t="shared" si="49"/>
        <v>931.34</v>
      </c>
      <c r="K800" s="52">
        <f t="shared" si="49"/>
        <v>886898.39</v>
      </c>
      <c r="L800" s="8"/>
    </row>
    <row r="801" spans="1:12" x14ac:dyDescent="0.25">
      <c r="A801" s="62">
        <v>46076</v>
      </c>
      <c r="B801" s="50"/>
      <c r="C801" s="51">
        <f t="shared" ref="C801:K801" si="50">C576</f>
        <v>5.28</v>
      </c>
      <c r="D801" s="51">
        <f t="shared" si="50"/>
        <v>72.73</v>
      </c>
      <c r="E801" s="51">
        <f t="shared" si="50"/>
        <v>2.27</v>
      </c>
      <c r="F801" s="51">
        <f t="shared" si="50"/>
        <v>1.44</v>
      </c>
      <c r="G801" s="51">
        <f t="shared" si="50"/>
        <v>17.45</v>
      </c>
      <c r="H801" s="51">
        <f t="shared" si="50"/>
        <v>14.15</v>
      </c>
      <c r="I801" s="51">
        <f t="shared" si="50"/>
        <v>37.28</v>
      </c>
      <c r="J801" s="51">
        <f t="shared" si="50"/>
        <v>931.77</v>
      </c>
      <c r="K801" s="52">
        <f t="shared" si="50"/>
        <v>909882.89</v>
      </c>
      <c r="L801" s="8"/>
    </row>
    <row r="802" spans="1:12" x14ac:dyDescent="0.25">
      <c r="A802" s="62">
        <v>46077</v>
      </c>
      <c r="B802" s="50"/>
      <c r="C802" s="51">
        <f t="shared" ref="C802:K802" si="51">C601</f>
        <v>5.16</v>
      </c>
      <c r="D802" s="51">
        <f t="shared" si="51"/>
        <v>72.81</v>
      </c>
      <c r="E802" s="51">
        <f t="shared" si="51"/>
        <v>2.2999999999999998</v>
      </c>
      <c r="F802" s="51">
        <f t="shared" si="51"/>
        <v>6.67</v>
      </c>
      <c r="G802" s="51">
        <f t="shared" si="51"/>
        <v>17.43</v>
      </c>
      <c r="H802" s="51">
        <f t="shared" si="51"/>
        <v>14.08</v>
      </c>
      <c r="I802" s="51">
        <f t="shared" si="51"/>
        <v>37.619999999999997</v>
      </c>
      <c r="J802" s="51">
        <f t="shared" si="51"/>
        <v>937.77</v>
      </c>
      <c r="K802" s="52">
        <f t="shared" si="51"/>
        <v>937498.06</v>
      </c>
      <c r="L802" s="8"/>
    </row>
    <row r="803" spans="1:12" x14ac:dyDescent="0.25">
      <c r="A803" s="62">
        <v>46078</v>
      </c>
      <c r="B803" s="50"/>
      <c r="C803" s="53">
        <f t="shared" ref="C803:K803" si="52">C626</f>
        <v>5.01</v>
      </c>
      <c r="D803" s="53">
        <f t="shared" si="52"/>
        <v>74.12</v>
      </c>
      <c r="E803" s="53">
        <f t="shared" si="52"/>
        <v>2.2599999999999998</v>
      </c>
      <c r="F803" s="53">
        <f t="shared" si="52"/>
        <v>10.27</v>
      </c>
      <c r="G803" s="53">
        <f t="shared" si="52"/>
        <v>17.36</v>
      </c>
      <c r="H803" s="53">
        <f t="shared" si="52"/>
        <v>14.13</v>
      </c>
      <c r="I803" s="53">
        <f t="shared" si="52"/>
        <v>38.840000000000003</v>
      </c>
      <c r="J803" s="53">
        <f t="shared" si="52"/>
        <v>938.12</v>
      </c>
      <c r="K803" s="54">
        <f t="shared" si="52"/>
        <v>973012.89</v>
      </c>
      <c r="L803" s="9"/>
    </row>
    <row r="804" spans="1:12" x14ac:dyDescent="0.25">
      <c r="A804" s="62">
        <v>46079</v>
      </c>
      <c r="B804" s="50"/>
      <c r="C804" s="53">
        <f t="shared" ref="C804:K804" si="53">C651</f>
        <v>10.24</v>
      </c>
      <c r="D804" s="53">
        <f t="shared" si="53"/>
        <v>80.62</v>
      </c>
      <c r="E804" s="53">
        <f t="shared" si="53"/>
        <v>2.4700000000000002</v>
      </c>
      <c r="F804" s="53">
        <f t="shared" si="53"/>
        <v>27.05</v>
      </c>
      <c r="G804" s="53">
        <f t="shared" si="53"/>
        <v>17.77</v>
      </c>
      <c r="H804" s="53">
        <f t="shared" si="53"/>
        <v>14.26</v>
      </c>
      <c r="I804" s="53">
        <f t="shared" si="53"/>
        <v>39.24</v>
      </c>
      <c r="J804" s="53">
        <f t="shared" si="53"/>
        <v>930.14</v>
      </c>
      <c r="K804" s="54">
        <f t="shared" si="53"/>
        <v>880173.24</v>
      </c>
      <c r="L804" s="9"/>
    </row>
    <row r="805" spans="1:12" x14ac:dyDescent="0.25">
      <c r="A805" s="62">
        <v>46080</v>
      </c>
      <c r="B805" s="50"/>
      <c r="C805" s="53">
        <f t="shared" ref="C805:K805" si="54">C676</f>
        <v>5.0599999999999996</v>
      </c>
      <c r="D805" s="53">
        <f t="shared" si="54"/>
        <v>77.05</v>
      </c>
      <c r="E805" s="53">
        <f t="shared" si="54"/>
        <v>2.4</v>
      </c>
      <c r="F805" s="53">
        <f t="shared" si="54"/>
        <v>30.28</v>
      </c>
      <c r="G805" s="53">
        <f t="shared" si="54"/>
        <v>17.239999999999998</v>
      </c>
      <c r="H805" s="53">
        <f t="shared" si="54"/>
        <v>14.49</v>
      </c>
      <c r="I805" s="53">
        <f t="shared" si="54"/>
        <v>43.15</v>
      </c>
      <c r="J805" s="53">
        <f t="shared" si="54"/>
        <v>927.34</v>
      </c>
      <c r="K805" s="54">
        <f t="shared" si="54"/>
        <v>991526.7</v>
      </c>
      <c r="L805" s="9"/>
    </row>
    <row r="806" spans="1:12" x14ac:dyDescent="0.25">
      <c r="A806" s="62">
        <v>46081</v>
      </c>
      <c r="B806" s="50"/>
      <c r="C806" s="53">
        <f t="shared" ref="C806:K806" si="55">C701</f>
        <v>4.8099999999999996</v>
      </c>
      <c r="D806" s="53">
        <f t="shared" si="55"/>
        <v>80.010000000000005</v>
      </c>
      <c r="E806" s="53">
        <f t="shared" si="55"/>
        <v>2.33</v>
      </c>
      <c r="F806" s="53">
        <f t="shared" si="55"/>
        <v>15.45</v>
      </c>
      <c r="G806" s="53">
        <f t="shared" si="55"/>
        <v>17.29</v>
      </c>
      <c r="H806" s="53">
        <f t="shared" si="55"/>
        <v>14.55</v>
      </c>
      <c r="I806" s="53">
        <f t="shared" si="55"/>
        <v>52.41</v>
      </c>
      <c r="J806" s="53">
        <f t="shared" si="55"/>
        <v>928.98</v>
      </c>
      <c r="K806" s="54">
        <f t="shared" si="55"/>
        <v>988734.95</v>
      </c>
      <c r="L806" s="9"/>
    </row>
    <row r="807" spans="1:12" x14ac:dyDescent="0.25">
      <c r="A807" s="62"/>
      <c r="B807" s="50"/>
      <c r="C807" s="53">
        <f t="shared" ref="C807:K807" si="56">C726</f>
        <v>0</v>
      </c>
      <c r="D807" s="53">
        <f t="shared" si="56"/>
        <v>0</v>
      </c>
      <c r="E807" s="53">
        <f t="shared" si="56"/>
        <v>0</v>
      </c>
      <c r="F807" s="53">
        <f t="shared" si="56"/>
        <v>0</v>
      </c>
      <c r="G807" s="53">
        <f t="shared" si="56"/>
        <v>0</v>
      </c>
      <c r="H807" s="53">
        <f t="shared" si="56"/>
        <v>0</v>
      </c>
      <c r="I807" s="53">
        <f t="shared" si="56"/>
        <v>0</v>
      </c>
      <c r="J807" s="53">
        <f t="shared" si="56"/>
        <v>0</v>
      </c>
      <c r="K807" s="54">
        <f t="shared" si="56"/>
        <v>0</v>
      </c>
      <c r="L807" s="9"/>
    </row>
    <row r="808" spans="1:12" x14ac:dyDescent="0.25">
      <c r="A808" s="62"/>
      <c r="B808" s="50"/>
      <c r="C808" s="53">
        <f t="shared" ref="C808:K808" si="57">C751</f>
        <v>0</v>
      </c>
      <c r="D808" s="53">
        <f t="shared" si="57"/>
        <v>0</v>
      </c>
      <c r="E808" s="53">
        <f>E751</f>
        <v>0</v>
      </c>
      <c r="F808" s="53">
        <f t="shared" si="57"/>
        <v>0</v>
      </c>
      <c r="G808" s="53">
        <f t="shared" si="57"/>
        <v>0</v>
      </c>
      <c r="H808" s="53">
        <f t="shared" si="57"/>
        <v>0</v>
      </c>
      <c r="I808" s="53">
        <f t="shared" si="57"/>
        <v>0</v>
      </c>
      <c r="J808" s="53">
        <f t="shared" si="57"/>
        <v>0</v>
      </c>
      <c r="K808" s="54">
        <f t="shared" si="57"/>
        <v>0</v>
      </c>
      <c r="L808" s="9"/>
    </row>
    <row r="809" spans="1:12" x14ac:dyDescent="0.25">
      <c r="A809" s="62"/>
      <c r="B809" s="50"/>
      <c r="C809" s="53">
        <f t="shared" ref="C809:K809" si="58">C776</f>
        <v>0</v>
      </c>
      <c r="D809" s="53">
        <f t="shared" si="58"/>
        <v>0</v>
      </c>
      <c r="E809" s="53">
        <f t="shared" si="58"/>
        <v>0</v>
      </c>
      <c r="F809" s="53">
        <f t="shared" si="58"/>
        <v>0</v>
      </c>
      <c r="G809" s="53">
        <f t="shared" si="58"/>
        <v>0</v>
      </c>
      <c r="H809" s="53">
        <f t="shared" si="58"/>
        <v>0</v>
      </c>
      <c r="I809" s="53">
        <f t="shared" si="58"/>
        <v>0</v>
      </c>
      <c r="J809" s="53">
        <f t="shared" si="58"/>
        <v>0</v>
      </c>
      <c r="K809" s="54">
        <f t="shared" si="58"/>
        <v>0</v>
      </c>
      <c r="L809" s="9"/>
    </row>
    <row r="810" spans="1:12" ht="15.75" thickBot="1" x14ac:dyDescent="0.3">
      <c r="A810" s="41" t="s">
        <v>74</v>
      </c>
      <c r="B810" s="55"/>
      <c r="C810" s="56">
        <f t="shared" ref="C810:K810" si="59">IFERROR(ROUND(AVERAGE(C779:C809), 3), "")</f>
        <v>5.3630000000000004</v>
      </c>
      <c r="D810" s="56">
        <f t="shared" si="59"/>
        <v>66.477999999999994</v>
      </c>
      <c r="E810" s="56">
        <f t="shared" si="59"/>
        <v>1.847</v>
      </c>
      <c r="F810" s="56">
        <f t="shared" si="59"/>
        <v>5.149</v>
      </c>
      <c r="G810" s="56">
        <f t="shared" si="59"/>
        <v>15.728</v>
      </c>
      <c r="H810" s="56">
        <f t="shared" si="59"/>
        <v>12.688000000000001</v>
      </c>
      <c r="I810" s="56">
        <f t="shared" si="59"/>
        <v>34.075000000000003</v>
      </c>
      <c r="J810" s="56">
        <f t="shared" si="59"/>
        <v>848.39099999999996</v>
      </c>
      <c r="K810" s="56">
        <f t="shared" si="59"/>
        <v>851190.98499999999</v>
      </c>
      <c r="L810" s="4"/>
    </row>
    <row r="811" spans="1:12" x14ac:dyDescent="0.25">
      <c r="B811" s="13"/>
      <c r="J811" s="63" t="s">
        <v>0</v>
      </c>
      <c r="K811" s="63"/>
      <c r="L811" s="4"/>
    </row>
    <row r="812" spans="1:12" x14ac:dyDescent="0.25">
      <c r="B812" s="13"/>
    </row>
    <row r="813" spans="1:12" x14ac:dyDescent="0.25">
      <c r="B813" s="13"/>
    </row>
    <row r="814" spans="1:12" x14ac:dyDescent="0.25">
      <c r="B814" s="13"/>
    </row>
    <row r="815" spans="1:12" x14ac:dyDescent="0.25">
      <c r="B815" s="13"/>
    </row>
    <row r="816" spans="1:1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1:11" x14ac:dyDescent="0.25">
      <c r="B849" s="13"/>
    </row>
    <row r="850" spans="1:11" x14ac:dyDescent="0.25">
      <c r="A850" s="11"/>
      <c r="C850" s="12"/>
      <c r="D850" s="12"/>
      <c r="E850" s="12"/>
      <c r="F850" s="12"/>
      <c r="G850" s="12"/>
      <c r="H850" s="12"/>
      <c r="I850" s="12"/>
      <c r="J850" s="12"/>
      <c r="K850" s="12"/>
    </row>
    <row r="851" spans="1:11" x14ac:dyDescent="0.25">
      <c r="B851" s="13"/>
    </row>
    <row r="852" spans="1:11" x14ac:dyDescent="0.25">
      <c r="B852" s="13"/>
    </row>
    <row r="853" spans="1:11" x14ac:dyDescent="0.25">
      <c r="B853" s="13"/>
    </row>
    <row r="854" spans="1:11" x14ac:dyDescent="0.25">
      <c r="B854" s="13"/>
    </row>
    <row r="855" spans="1:11" x14ac:dyDescent="0.25">
      <c r="B855" s="13"/>
    </row>
    <row r="856" spans="1:11" x14ac:dyDescent="0.25">
      <c r="B856" s="13"/>
    </row>
    <row r="857" spans="1:11" x14ac:dyDescent="0.25">
      <c r="B857" s="13"/>
    </row>
    <row r="858" spans="1:11" x14ac:dyDescent="0.25">
      <c r="B858" s="13"/>
    </row>
    <row r="859" spans="1:11" x14ac:dyDescent="0.25">
      <c r="B859" s="13"/>
    </row>
    <row r="860" spans="1:11" x14ac:dyDescent="0.25">
      <c r="B860" s="13"/>
    </row>
    <row r="861" spans="1:11" x14ac:dyDescent="0.25">
      <c r="B861" s="13"/>
    </row>
    <row r="862" spans="1:11" x14ac:dyDescent="0.25">
      <c r="B862" s="13"/>
    </row>
    <row r="863" spans="1:11" x14ac:dyDescent="0.25">
      <c r="B863" s="13"/>
    </row>
    <row r="864" spans="1:11" x14ac:dyDescent="0.25">
      <c r="B864" s="13"/>
    </row>
    <row r="865" spans="1:11" x14ac:dyDescent="0.25">
      <c r="B865" s="13"/>
    </row>
    <row r="866" spans="1:11" x14ac:dyDescent="0.25">
      <c r="B866" s="13"/>
    </row>
    <row r="867" spans="1:11" x14ac:dyDescent="0.25">
      <c r="B867" s="13"/>
    </row>
    <row r="868" spans="1:11" x14ac:dyDescent="0.25">
      <c r="B868" s="13"/>
    </row>
    <row r="869" spans="1:11" x14ac:dyDescent="0.25">
      <c r="B869" s="13"/>
    </row>
    <row r="870" spans="1:11" x14ac:dyDescent="0.25">
      <c r="B870" s="13"/>
    </row>
    <row r="871" spans="1:11" x14ac:dyDescent="0.25">
      <c r="B871" s="13"/>
    </row>
    <row r="872" spans="1:11" x14ac:dyDescent="0.25">
      <c r="B872" s="13"/>
    </row>
    <row r="873" spans="1:11" x14ac:dyDescent="0.25">
      <c r="B873" s="13"/>
    </row>
    <row r="874" spans="1:11" x14ac:dyDescent="0.25">
      <c r="B874" s="13"/>
    </row>
    <row r="875" spans="1:11" x14ac:dyDescent="0.25">
      <c r="A875" s="11"/>
      <c r="C875" s="12"/>
      <c r="D875" s="12"/>
      <c r="E875" s="12"/>
      <c r="F875" s="12"/>
      <c r="G875" s="12"/>
      <c r="H875" s="12"/>
      <c r="I875" s="12"/>
      <c r="J875" s="12"/>
      <c r="K875" s="12"/>
    </row>
    <row r="876" spans="1:11" x14ac:dyDescent="0.25">
      <c r="B876" s="13"/>
    </row>
    <row r="877" spans="1:11" x14ac:dyDescent="0.25">
      <c r="B877" s="13"/>
    </row>
    <row r="878" spans="1:11" x14ac:dyDescent="0.25">
      <c r="B878" s="13"/>
    </row>
    <row r="879" spans="1:11" x14ac:dyDescent="0.25">
      <c r="B879" s="13"/>
    </row>
    <row r="880" spans="1:11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1:11" x14ac:dyDescent="0.25">
      <c r="B897" s="13"/>
    </row>
    <row r="898" spans="1:11" x14ac:dyDescent="0.25">
      <c r="B898" s="13"/>
    </row>
    <row r="899" spans="1:11" x14ac:dyDescent="0.25">
      <c r="B899" s="13"/>
    </row>
    <row r="900" spans="1:11" x14ac:dyDescent="0.25">
      <c r="A900" s="11"/>
      <c r="C900" s="12"/>
      <c r="D900" s="12"/>
      <c r="E900" s="12"/>
      <c r="F900" s="12"/>
      <c r="G900" s="12"/>
      <c r="H900" s="12"/>
      <c r="I900" s="12"/>
      <c r="J900" s="12"/>
      <c r="K900" s="12"/>
    </row>
    <row r="901" spans="1:11" x14ac:dyDescent="0.25">
      <c r="B901" s="13"/>
    </row>
    <row r="902" spans="1:11" x14ac:dyDescent="0.25">
      <c r="B902" s="13"/>
    </row>
    <row r="903" spans="1:11" x14ac:dyDescent="0.25">
      <c r="B903" s="13"/>
    </row>
    <row r="904" spans="1:11" x14ac:dyDescent="0.25">
      <c r="B904" s="13"/>
    </row>
    <row r="905" spans="1:11" x14ac:dyDescent="0.25">
      <c r="B905" s="13"/>
    </row>
    <row r="906" spans="1:11" x14ac:dyDescent="0.25">
      <c r="B906" s="13"/>
    </row>
    <row r="907" spans="1:11" x14ac:dyDescent="0.25">
      <c r="B907" s="13"/>
    </row>
    <row r="908" spans="1:11" x14ac:dyDescent="0.25">
      <c r="B908" s="13"/>
    </row>
    <row r="909" spans="1:11" x14ac:dyDescent="0.25">
      <c r="B909" s="13"/>
    </row>
    <row r="910" spans="1:11" x14ac:dyDescent="0.25">
      <c r="B910" s="13"/>
    </row>
    <row r="911" spans="1:11" x14ac:dyDescent="0.25">
      <c r="B911" s="13"/>
    </row>
    <row r="912" spans="1:11" x14ac:dyDescent="0.25">
      <c r="B912" s="13"/>
    </row>
    <row r="913" spans="1:11" x14ac:dyDescent="0.25">
      <c r="B913" s="13"/>
    </row>
    <row r="914" spans="1:11" x14ac:dyDescent="0.25">
      <c r="B914" s="13"/>
    </row>
    <row r="915" spans="1:11" x14ac:dyDescent="0.25">
      <c r="B915" s="13"/>
    </row>
    <row r="916" spans="1:11" x14ac:dyDescent="0.25">
      <c r="B916" s="13"/>
    </row>
    <row r="917" spans="1:11" x14ac:dyDescent="0.25">
      <c r="B917" s="13"/>
    </row>
    <row r="918" spans="1:11" x14ac:dyDescent="0.25">
      <c r="B918" s="13"/>
    </row>
    <row r="919" spans="1:11" x14ac:dyDescent="0.25">
      <c r="B919" s="13"/>
    </row>
    <row r="920" spans="1:11" x14ac:dyDescent="0.25">
      <c r="B920" s="13"/>
    </row>
    <row r="921" spans="1:11" x14ac:dyDescent="0.25">
      <c r="B921" s="13"/>
    </row>
    <row r="922" spans="1:11" x14ac:dyDescent="0.25">
      <c r="B922" s="13"/>
    </row>
    <row r="923" spans="1:11" x14ac:dyDescent="0.25">
      <c r="B923" s="13"/>
    </row>
    <row r="924" spans="1:11" x14ac:dyDescent="0.25">
      <c r="B924" s="13"/>
    </row>
    <row r="925" spans="1:11" x14ac:dyDescent="0.25">
      <c r="A925" s="11"/>
      <c r="C925" s="12"/>
      <c r="D925" s="12"/>
      <c r="E925" s="12"/>
      <c r="F925" s="12"/>
      <c r="G925" s="12"/>
      <c r="H925" s="12"/>
      <c r="I925" s="12"/>
      <c r="J925" s="12"/>
      <c r="K925" s="12"/>
    </row>
    <row r="926" spans="1:11" x14ac:dyDescent="0.25">
      <c r="B926" s="13"/>
    </row>
    <row r="927" spans="1:11" x14ac:dyDescent="0.25">
      <c r="B927" s="13"/>
    </row>
    <row r="928" spans="1:11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1:11" x14ac:dyDescent="0.25">
      <c r="B945" s="13"/>
    </row>
    <row r="946" spans="1:11" x14ac:dyDescent="0.25">
      <c r="B946" s="13"/>
    </row>
    <row r="947" spans="1:11" x14ac:dyDescent="0.25">
      <c r="B947" s="13"/>
    </row>
    <row r="948" spans="1:11" x14ac:dyDescent="0.25">
      <c r="B948" s="13"/>
    </row>
    <row r="949" spans="1:11" x14ac:dyDescent="0.25">
      <c r="B949" s="13"/>
    </row>
    <row r="950" spans="1:11" x14ac:dyDescent="0.25">
      <c r="A950" s="11"/>
      <c r="C950" s="12"/>
      <c r="D950" s="12"/>
      <c r="E950" s="12"/>
      <c r="F950" s="12"/>
      <c r="G950" s="12"/>
      <c r="H950" s="12"/>
      <c r="I950" s="12"/>
      <c r="J950" s="12"/>
      <c r="K950" s="12"/>
    </row>
    <row r="951" spans="1:11" x14ac:dyDescent="0.25">
      <c r="B951" s="13"/>
    </row>
    <row r="952" spans="1:11" x14ac:dyDescent="0.25">
      <c r="B952" s="13"/>
    </row>
    <row r="953" spans="1:11" x14ac:dyDescent="0.25">
      <c r="B953" s="13"/>
    </row>
    <row r="954" spans="1:11" x14ac:dyDescent="0.25">
      <c r="B954" s="13"/>
    </row>
    <row r="955" spans="1:11" x14ac:dyDescent="0.25">
      <c r="B955" s="13"/>
    </row>
    <row r="956" spans="1:11" x14ac:dyDescent="0.25">
      <c r="B956" s="13"/>
    </row>
    <row r="957" spans="1:11" x14ac:dyDescent="0.25">
      <c r="B957" s="13"/>
    </row>
    <row r="958" spans="1:11" x14ac:dyDescent="0.25">
      <c r="B958" s="13"/>
    </row>
    <row r="959" spans="1:11" x14ac:dyDescent="0.25">
      <c r="B959" s="13"/>
    </row>
    <row r="960" spans="1:11" x14ac:dyDescent="0.25">
      <c r="B960" s="13"/>
    </row>
    <row r="961" spans="1:11" x14ac:dyDescent="0.25">
      <c r="B961" s="13"/>
    </row>
    <row r="962" spans="1:11" x14ac:dyDescent="0.25">
      <c r="B962" s="13"/>
    </row>
    <row r="963" spans="1:11" x14ac:dyDescent="0.25">
      <c r="B963" s="13"/>
    </row>
    <row r="964" spans="1:11" x14ac:dyDescent="0.25">
      <c r="B964" s="13"/>
    </row>
    <row r="965" spans="1:11" x14ac:dyDescent="0.25">
      <c r="B965" s="13"/>
    </row>
    <row r="966" spans="1:11" x14ac:dyDescent="0.25">
      <c r="B966" s="13"/>
    </row>
    <row r="967" spans="1:11" x14ac:dyDescent="0.25">
      <c r="B967" s="13"/>
    </row>
    <row r="968" spans="1:11" x14ac:dyDescent="0.25">
      <c r="B968" s="13"/>
    </row>
    <row r="969" spans="1:11" x14ac:dyDescent="0.25">
      <c r="B969" s="13"/>
    </row>
    <row r="970" spans="1:11" x14ac:dyDescent="0.25">
      <c r="B970" s="13"/>
    </row>
    <row r="971" spans="1:11" x14ac:dyDescent="0.25">
      <c r="B971" s="13"/>
    </row>
    <row r="972" spans="1:11" x14ac:dyDescent="0.25">
      <c r="B972" s="13"/>
    </row>
    <row r="973" spans="1:11" x14ac:dyDescent="0.25">
      <c r="B973" s="13"/>
    </row>
    <row r="974" spans="1:11" x14ac:dyDescent="0.25">
      <c r="B974" s="13"/>
    </row>
    <row r="975" spans="1:11" x14ac:dyDescent="0.25">
      <c r="A975" s="11"/>
      <c r="C975" s="12"/>
      <c r="D975" s="12"/>
      <c r="E975" s="12"/>
      <c r="F975" s="12"/>
      <c r="G975" s="12"/>
      <c r="H975" s="12"/>
      <c r="I975" s="12"/>
      <c r="J975" s="12"/>
      <c r="K975" s="12"/>
    </row>
    <row r="976" spans="1:11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1:11" x14ac:dyDescent="0.25">
      <c r="B993" s="13"/>
    </row>
    <row r="994" spans="1:11" x14ac:dyDescent="0.25">
      <c r="B994" s="13"/>
    </row>
    <row r="995" spans="1:11" x14ac:dyDescent="0.25">
      <c r="B995" s="13"/>
    </row>
    <row r="996" spans="1:11" x14ac:dyDescent="0.25">
      <c r="B996" s="13"/>
    </row>
    <row r="997" spans="1:11" x14ac:dyDescent="0.25">
      <c r="B997" s="13"/>
    </row>
    <row r="998" spans="1:11" x14ac:dyDescent="0.25">
      <c r="B998" s="13"/>
    </row>
    <row r="999" spans="1:11" x14ac:dyDescent="0.25">
      <c r="B999" s="13"/>
    </row>
    <row r="1000" spans="1:11" x14ac:dyDescent="0.25">
      <c r="A1000" s="11"/>
      <c r="C1000" s="12"/>
      <c r="D1000" s="12"/>
      <c r="E1000" s="12"/>
      <c r="F1000" s="12"/>
      <c r="G1000" s="12"/>
      <c r="H1000" s="12"/>
      <c r="I1000" s="12"/>
      <c r="J1000" s="12"/>
      <c r="K1000" s="12"/>
    </row>
    <row r="1001" spans="1:11" x14ac:dyDescent="0.25">
      <c r="B1001" s="13"/>
    </row>
    <row r="1002" spans="1:11" x14ac:dyDescent="0.25">
      <c r="B1002" s="13"/>
    </row>
    <row r="1003" spans="1:11" x14ac:dyDescent="0.25">
      <c r="B1003" s="13"/>
    </row>
    <row r="1004" spans="1:11" x14ac:dyDescent="0.25">
      <c r="B1004" s="13"/>
    </row>
    <row r="1005" spans="1:11" x14ac:dyDescent="0.25">
      <c r="B1005" s="13"/>
    </row>
    <row r="1006" spans="1:11" x14ac:dyDescent="0.25">
      <c r="B1006" s="13"/>
    </row>
    <row r="1007" spans="1:11" x14ac:dyDescent="0.25">
      <c r="B1007" s="13"/>
    </row>
    <row r="1008" spans="1:11" x14ac:dyDescent="0.25">
      <c r="B1008" s="13"/>
    </row>
    <row r="1009" spans="2:2" x14ac:dyDescent="0.25">
      <c r="B1009" s="13"/>
    </row>
    <row r="1010" spans="2:2" x14ac:dyDescent="0.25">
      <c r="B1010" s="13"/>
    </row>
    <row r="1011" spans="2:2" x14ac:dyDescent="0.25">
      <c r="B1011" s="13"/>
    </row>
    <row r="1012" spans="2:2" x14ac:dyDescent="0.25">
      <c r="B1012" s="13"/>
    </row>
    <row r="1013" spans="2:2" x14ac:dyDescent="0.25">
      <c r="B1013" s="13"/>
    </row>
    <row r="1014" spans="2:2" x14ac:dyDescent="0.25">
      <c r="B1014" s="13"/>
    </row>
    <row r="1015" spans="2:2" x14ac:dyDescent="0.25">
      <c r="B1015" s="13"/>
    </row>
    <row r="1016" spans="2:2" x14ac:dyDescent="0.25">
      <c r="B1016" s="13"/>
    </row>
    <row r="1017" spans="2:2" x14ac:dyDescent="0.25">
      <c r="B1017" s="13"/>
    </row>
    <row r="1018" spans="2:2" x14ac:dyDescent="0.25">
      <c r="B1018" s="13"/>
    </row>
    <row r="1019" spans="2:2" x14ac:dyDescent="0.25">
      <c r="B1019" s="13"/>
    </row>
    <row r="1020" spans="2:2" x14ac:dyDescent="0.25">
      <c r="B1020" s="13"/>
    </row>
    <row r="1021" spans="2:2" x14ac:dyDescent="0.25">
      <c r="B1021" s="13"/>
    </row>
    <row r="1022" spans="2:2" x14ac:dyDescent="0.25">
      <c r="B1022" s="13"/>
    </row>
    <row r="1023" spans="2:2" x14ac:dyDescent="0.25">
      <c r="B1023" s="13"/>
    </row>
    <row r="1024" spans="2:2" x14ac:dyDescent="0.25">
      <c r="B1024" s="13"/>
    </row>
    <row r="1025" spans="1:11" x14ac:dyDescent="0.25">
      <c r="A1025" s="11"/>
      <c r="C1025" s="12"/>
      <c r="D1025" s="12"/>
      <c r="E1025" s="12"/>
      <c r="F1025" s="12"/>
      <c r="G1025" s="12"/>
      <c r="H1025" s="12"/>
      <c r="I1025" s="12"/>
      <c r="J1025" s="12"/>
      <c r="K1025" s="12"/>
    </row>
    <row r="1026" spans="1:11" x14ac:dyDescent="0.25">
      <c r="B1026" s="13"/>
    </row>
    <row r="1027" spans="1:11" x14ac:dyDescent="0.25">
      <c r="B1027" s="13"/>
    </row>
    <row r="1028" spans="1:11" x14ac:dyDescent="0.25">
      <c r="B1028" s="13"/>
    </row>
    <row r="1029" spans="1:11" x14ac:dyDescent="0.25">
      <c r="B1029" s="13"/>
    </row>
    <row r="1030" spans="1:11" x14ac:dyDescent="0.25">
      <c r="B1030" s="13"/>
    </row>
    <row r="1031" spans="1:11" x14ac:dyDescent="0.25">
      <c r="B1031" s="13"/>
    </row>
    <row r="1032" spans="1:11" x14ac:dyDescent="0.25">
      <c r="B1032" s="13"/>
    </row>
    <row r="1033" spans="1:11" x14ac:dyDescent="0.25">
      <c r="B1033" s="13"/>
    </row>
    <row r="1034" spans="1:11" x14ac:dyDescent="0.25">
      <c r="B1034" s="13"/>
    </row>
    <row r="1035" spans="1:11" x14ac:dyDescent="0.25">
      <c r="B1035" s="13"/>
    </row>
    <row r="1036" spans="1:11" x14ac:dyDescent="0.25">
      <c r="B1036" s="13"/>
    </row>
    <row r="1037" spans="1:11" x14ac:dyDescent="0.25">
      <c r="B1037" s="13"/>
    </row>
    <row r="1038" spans="1:11" x14ac:dyDescent="0.25">
      <c r="B1038" s="13"/>
    </row>
    <row r="1039" spans="1:11" x14ac:dyDescent="0.25">
      <c r="B1039" s="13"/>
    </row>
    <row r="1040" spans="1:11" x14ac:dyDescent="0.25">
      <c r="B1040" s="13"/>
    </row>
    <row r="1041" spans="1:11" x14ac:dyDescent="0.25">
      <c r="B1041" s="13"/>
    </row>
    <row r="1042" spans="1:11" x14ac:dyDescent="0.25">
      <c r="B1042" s="13"/>
    </row>
    <row r="1043" spans="1:11" x14ac:dyDescent="0.25">
      <c r="B1043" s="13"/>
    </row>
    <row r="1044" spans="1:11" x14ac:dyDescent="0.25">
      <c r="B1044" s="13"/>
    </row>
    <row r="1045" spans="1:11" x14ac:dyDescent="0.25">
      <c r="B1045" s="13"/>
    </row>
    <row r="1046" spans="1:11" x14ac:dyDescent="0.25">
      <c r="B1046" s="13"/>
    </row>
    <row r="1047" spans="1:11" x14ac:dyDescent="0.25">
      <c r="B1047" s="13"/>
    </row>
    <row r="1048" spans="1:11" x14ac:dyDescent="0.25">
      <c r="B1048" s="13"/>
    </row>
    <row r="1049" spans="1:11" x14ac:dyDescent="0.25">
      <c r="B1049" s="13"/>
    </row>
    <row r="1050" spans="1:11" x14ac:dyDescent="0.25">
      <c r="A1050" s="11"/>
      <c r="C1050" s="12"/>
      <c r="D1050" s="12"/>
      <c r="E1050" s="12"/>
      <c r="F1050" s="12"/>
      <c r="G1050" s="12"/>
      <c r="H1050" s="12"/>
      <c r="I1050" s="12"/>
      <c r="J1050" s="12"/>
      <c r="K1050" s="12"/>
    </row>
    <row r="1051" spans="1:11" x14ac:dyDescent="0.25">
      <c r="B1051" s="13"/>
    </row>
    <row r="1052" spans="1:11" x14ac:dyDescent="0.25">
      <c r="B1052" s="13"/>
    </row>
    <row r="1053" spans="1:11" x14ac:dyDescent="0.25">
      <c r="B1053" s="13"/>
    </row>
    <row r="1054" spans="1:11" x14ac:dyDescent="0.25">
      <c r="B1054" s="13"/>
    </row>
    <row r="1055" spans="1:11" x14ac:dyDescent="0.25">
      <c r="B1055" s="13"/>
    </row>
    <row r="1056" spans="1:11" x14ac:dyDescent="0.25">
      <c r="B1056" s="13"/>
    </row>
    <row r="1057" spans="2:2" x14ac:dyDescent="0.25">
      <c r="B1057" s="13"/>
    </row>
    <row r="1058" spans="2:2" x14ac:dyDescent="0.25">
      <c r="B1058" s="13"/>
    </row>
    <row r="1059" spans="2:2" x14ac:dyDescent="0.25">
      <c r="B1059" s="13"/>
    </row>
    <row r="1060" spans="2:2" x14ac:dyDescent="0.25">
      <c r="B1060" s="13"/>
    </row>
    <row r="1061" spans="2:2" x14ac:dyDescent="0.25">
      <c r="B1061" s="13"/>
    </row>
    <row r="1062" spans="2:2" x14ac:dyDescent="0.25">
      <c r="B1062" s="13"/>
    </row>
    <row r="1063" spans="2:2" x14ac:dyDescent="0.25">
      <c r="B1063" s="13"/>
    </row>
    <row r="1064" spans="2:2" x14ac:dyDescent="0.25">
      <c r="B1064" s="13"/>
    </row>
    <row r="1065" spans="2:2" x14ac:dyDescent="0.25">
      <c r="B1065" s="13"/>
    </row>
    <row r="1066" spans="2:2" x14ac:dyDescent="0.25">
      <c r="B1066" s="13"/>
    </row>
    <row r="1067" spans="2:2" x14ac:dyDescent="0.25">
      <c r="B1067" s="13"/>
    </row>
    <row r="1068" spans="2:2" x14ac:dyDescent="0.25">
      <c r="B1068" s="13"/>
    </row>
    <row r="1069" spans="2:2" x14ac:dyDescent="0.25">
      <c r="B1069" s="13"/>
    </row>
    <row r="1070" spans="2:2" x14ac:dyDescent="0.25">
      <c r="B1070" s="13"/>
    </row>
    <row r="1071" spans="2:2" x14ac:dyDescent="0.25">
      <c r="B1071" s="13"/>
    </row>
    <row r="1072" spans="2:2" x14ac:dyDescent="0.25">
      <c r="B1072" s="13"/>
    </row>
    <row r="1073" spans="1:11" x14ac:dyDescent="0.25">
      <c r="B1073" s="13"/>
    </row>
    <row r="1074" spans="1:11" x14ac:dyDescent="0.25">
      <c r="B1074" s="13"/>
    </row>
    <row r="1075" spans="1:11" x14ac:dyDescent="0.25">
      <c r="A1075" s="11"/>
      <c r="C1075" s="12"/>
      <c r="D1075" s="12"/>
      <c r="E1075" s="12"/>
      <c r="F1075" s="12"/>
      <c r="G1075" s="12"/>
      <c r="H1075" s="12"/>
      <c r="I1075" s="12"/>
      <c r="J1075" s="12"/>
      <c r="K1075" s="12"/>
    </row>
    <row r="1076" spans="1:11" x14ac:dyDescent="0.25">
      <c r="B1076" s="13"/>
    </row>
    <row r="1077" spans="1:11" x14ac:dyDescent="0.25">
      <c r="B1077" s="13"/>
    </row>
    <row r="1078" spans="1:11" x14ac:dyDescent="0.25">
      <c r="B1078" s="13"/>
    </row>
    <row r="1079" spans="1:11" x14ac:dyDescent="0.25">
      <c r="B1079" s="13"/>
    </row>
    <row r="1080" spans="1:11" x14ac:dyDescent="0.25">
      <c r="B1080" s="13"/>
    </row>
    <row r="1081" spans="1:11" x14ac:dyDescent="0.25">
      <c r="B1081" s="13"/>
    </row>
    <row r="1082" spans="1:11" x14ac:dyDescent="0.25">
      <c r="B1082" s="13"/>
    </row>
    <row r="1083" spans="1:11" x14ac:dyDescent="0.25">
      <c r="B1083" s="13"/>
    </row>
    <row r="1084" spans="1:11" x14ac:dyDescent="0.25">
      <c r="B1084" s="13"/>
    </row>
    <row r="1085" spans="1:11" x14ac:dyDescent="0.25">
      <c r="B1085" s="13"/>
    </row>
    <row r="1086" spans="1:11" x14ac:dyDescent="0.25">
      <c r="B1086" s="13"/>
    </row>
    <row r="1087" spans="1:11" x14ac:dyDescent="0.25">
      <c r="B1087" s="13"/>
    </row>
    <row r="1088" spans="1:11" x14ac:dyDescent="0.25">
      <c r="B1088" s="13"/>
    </row>
    <row r="1089" spans="1:11" x14ac:dyDescent="0.25">
      <c r="B1089" s="13"/>
    </row>
    <row r="1090" spans="1:11" x14ac:dyDescent="0.25">
      <c r="B1090" s="13"/>
    </row>
    <row r="1091" spans="1:11" x14ac:dyDescent="0.25">
      <c r="B1091" s="13"/>
    </row>
    <row r="1092" spans="1:11" x14ac:dyDescent="0.25">
      <c r="B1092" s="13"/>
    </row>
    <row r="1093" spans="1:11" x14ac:dyDescent="0.25">
      <c r="B1093" s="13"/>
    </row>
    <row r="1094" spans="1:11" x14ac:dyDescent="0.25">
      <c r="B1094" s="13"/>
    </row>
    <row r="1095" spans="1:11" x14ac:dyDescent="0.25">
      <c r="B1095" s="13"/>
    </row>
    <row r="1096" spans="1:11" x14ac:dyDescent="0.25">
      <c r="B1096" s="13"/>
    </row>
    <row r="1097" spans="1:11" x14ac:dyDescent="0.25">
      <c r="B1097" s="13"/>
    </row>
    <row r="1098" spans="1:11" x14ac:dyDescent="0.25">
      <c r="B1098" s="13"/>
    </row>
    <row r="1099" spans="1:11" x14ac:dyDescent="0.25">
      <c r="B1099" s="13"/>
    </row>
    <row r="1100" spans="1:11" x14ac:dyDescent="0.25">
      <c r="A1100" s="11"/>
      <c r="C1100" s="12"/>
      <c r="D1100" s="12"/>
      <c r="E1100" s="12"/>
      <c r="F1100" s="12"/>
      <c r="G1100" s="12"/>
      <c r="H1100" s="12"/>
      <c r="I1100" s="12"/>
      <c r="J1100" s="12"/>
      <c r="K1100" s="12"/>
    </row>
    <row r="1101" spans="1:11" x14ac:dyDescent="0.25">
      <c r="B1101" s="13"/>
    </row>
    <row r="1102" spans="1:11" x14ac:dyDescent="0.25">
      <c r="B1102" s="13"/>
    </row>
    <row r="1103" spans="1:11" x14ac:dyDescent="0.25">
      <c r="B1103" s="13"/>
    </row>
    <row r="1104" spans="1:11" x14ac:dyDescent="0.25">
      <c r="B1104" s="13"/>
    </row>
    <row r="1105" spans="2:2" x14ac:dyDescent="0.25">
      <c r="B1105" s="13"/>
    </row>
    <row r="1106" spans="2:2" x14ac:dyDescent="0.25">
      <c r="B1106" s="13"/>
    </row>
    <row r="1107" spans="2:2" x14ac:dyDescent="0.25">
      <c r="B1107" s="13"/>
    </row>
    <row r="1108" spans="2:2" x14ac:dyDescent="0.25">
      <c r="B1108" s="13"/>
    </row>
    <row r="1109" spans="2:2" x14ac:dyDescent="0.25">
      <c r="B1109" s="13"/>
    </row>
    <row r="1110" spans="2:2" x14ac:dyDescent="0.25">
      <c r="B1110" s="13"/>
    </row>
    <row r="1111" spans="2:2" x14ac:dyDescent="0.25">
      <c r="B1111" s="13"/>
    </row>
    <row r="1112" spans="2:2" x14ac:dyDescent="0.25">
      <c r="B1112" s="13"/>
    </row>
    <row r="1113" spans="2:2" x14ac:dyDescent="0.25">
      <c r="B1113" s="13"/>
    </row>
    <row r="1114" spans="2:2" x14ac:dyDescent="0.25">
      <c r="B1114" s="13"/>
    </row>
    <row r="1115" spans="2:2" x14ac:dyDescent="0.25">
      <c r="B1115" s="13"/>
    </row>
    <row r="1116" spans="2:2" x14ac:dyDescent="0.25">
      <c r="B1116" s="13"/>
    </row>
    <row r="1117" spans="2:2" x14ac:dyDescent="0.25">
      <c r="B1117" s="13"/>
    </row>
    <row r="1118" spans="2:2" x14ac:dyDescent="0.25">
      <c r="B1118" s="13"/>
    </row>
    <row r="1119" spans="2:2" x14ac:dyDescent="0.25">
      <c r="B1119" s="13"/>
    </row>
    <row r="1120" spans="2:2" x14ac:dyDescent="0.25">
      <c r="B1120" s="13"/>
    </row>
    <row r="1121" spans="1:11" x14ac:dyDescent="0.25">
      <c r="B1121" s="13"/>
    </row>
    <row r="1122" spans="1:11" x14ac:dyDescent="0.25">
      <c r="B1122" s="13"/>
    </row>
    <row r="1123" spans="1:11" x14ac:dyDescent="0.25">
      <c r="B1123" s="13"/>
    </row>
    <row r="1124" spans="1:11" x14ac:dyDescent="0.25">
      <c r="B1124" s="13"/>
    </row>
    <row r="1125" spans="1:11" x14ac:dyDescent="0.25">
      <c r="A1125" s="11"/>
      <c r="C1125" s="12"/>
      <c r="D1125" s="12"/>
      <c r="E1125" s="12"/>
      <c r="F1125" s="12"/>
      <c r="G1125" s="12"/>
      <c r="H1125" s="12"/>
      <c r="I1125" s="12"/>
      <c r="J1125" s="12"/>
      <c r="K1125" s="12"/>
    </row>
    <row r="1126" spans="1:11" x14ac:dyDescent="0.25">
      <c r="B1126" s="13"/>
    </row>
    <row r="1127" spans="1:11" x14ac:dyDescent="0.25">
      <c r="B1127" s="13"/>
    </row>
    <row r="1128" spans="1:11" x14ac:dyDescent="0.25">
      <c r="B1128" s="13"/>
    </row>
    <row r="1129" spans="1:11" x14ac:dyDescent="0.25">
      <c r="B1129" s="13"/>
    </row>
    <row r="1130" spans="1:11" x14ac:dyDescent="0.25">
      <c r="B1130" s="13"/>
    </row>
    <row r="1131" spans="1:11" x14ac:dyDescent="0.25">
      <c r="B1131" s="13"/>
    </row>
    <row r="1132" spans="1:11" x14ac:dyDescent="0.25">
      <c r="B1132" s="13"/>
    </row>
    <row r="1133" spans="1:11" x14ac:dyDescent="0.25">
      <c r="B1133" s="13"/>
    </row>
    <row r="1134" spans="1:11" x14ac:dyDescent="0.25">
      <c r="B1134" s="13"/>
    </row>
    <row r="1135" spans="1:11" x14ac:dyDescent="0.25">
      <c r="B1135" s="13"/>
    </row>
    <row r="1136" spans="1:11" x14ac:dyDescent="0.25">
      <c r="B1136" s="13"/>
    </row>
    <row r="1137" spans="1:11" x14ac:dyDescent="0.25">
      <c r="B1137" s="13"/>
    </row>
    <row r="1138" spans="1:11" x14ac:dyDescent="0.25">
      <c r="B1138" s="13"/>
    </row>
    <row r="1139" spans="1:11" x14ac:dyDescent="0.25">
      <c r="B1139" s="13"/>
    </row>
    <row r="1140" spans="1:11" x14ac:dyDescent="0.25">
      <c r="B1140" s="13"/>
    </row>
    <row r="1141" spans="1:11" x14ac:dyDescent="0.25">
      <c r="B1141" s="13"/>
    </row>
    <row r="1142" spans="1:11" x14ac:dyDescent="0.25">
      <c r="B1142" s="13"/>
    </row>
    <row r="1143" spans="1:11" x14ac:dyDescent="0.25">
      <c r="B1143" s="13"/>
    </row>
    <row r="1144" spans="1:11" x14ac:dyDescent="0.25">
      <c r="B1144" s="13"/>
    </row>
    <row r="1145" spans="1:11" x14ac:dyDescent="0.25">
      <c r="B1145" s="13"/>
    </row>
    <row r="1146" spans="1:11" x14ac:dyDescent="0.25">
      <c r="B1146" s="13"/>
    </row>
    <row r="1147" spans="1:11" x14ac:dyDescent="0.25">
      <c r="B1147" s="13"/>
    </row>
    <row r="1148" spans="1:11" x14ac:dyDescent="0.25">
      <c r="B1148" s="13"/>
    </row>
    <row r="1149" spans="1:11" x14ac:dyDescent="0.25">
      <c r="B1149" s="13"/>
    </row>
    <row r="1150" spans="1:11" x14ac:dyDescent="0.25">
      <c r="A1150" s="11"/>
      <c r="C1150" s="12"/>
      <c r="D1150" s="12"/>
      <c r="E1150" s="12"/>
      <c r="F1150" s="12"/>
      <c r="G1150" s="12"/>
      <c r="H1150" s="12"/>
      <c r="I1150" s="12"/>
      <c r="J1150" s="12"/>
      <c r="K1150" s="12"/>
    </row>
    <row r="1151" spans="1:11" x14ac:dyDescent="0.25">
      <c r="B1151" s="13"/>
    </row>
    <row r="1152" spans="1:11" x14ac:dyDescent="0.25">
      <c r="B1152" s="13"/>
    </row>
    <row r="1153" spans="2:2" x14ac:dyDescent="0.25">
      <c r="B1153" s="13"/>
    </row>
    <row r="1154" spans="2:2" x14ac:dyDescent="0.25">
      <c r="B1154" s="13"/>
    </row>
    <row r="1155" spans="2:2" x14ac:dyDescent="0.25">
      <c r="B1155" s="13"/>
    </row>
    <row r="1156" spans="2:2" x14ac:dyDescent="0.25">
      <c r="B1156" s="13"/>
    </row>
    <row r="1157" spans="2:2" x14ac:dyDescent="0.25">
      <c r="B1157" s="13"/>
    </row>
    <row r="1158" spans="2:2" x14ac:dyDescent="0.25">
      <c r="B1158" s="13"/>
    </row>
    <row r="1159" spans="2:2" x14ac:dyDescent="0.25">
      <c r="B1159" s="13"/>
    </row>
    <row r="1160" spans="2:2" x14ac:dyDescent="0.25">
      <c r="B1160" s="13"/>
    </row>
    <row r="1161" spans="2:2" x14ac:dyDescent="0.25">
      <c r="B1161" s="13"/>
    </row>
    <row r="1162" spans="2:2" x14ac:dyDescent="0.25">
      <c r="B1162" s="13"/>
    </row>
    <row r="1163" spans="2:2" x14ac:dyDescent="0.25">
      <c r="B1163" s="13"/>
    </row>
    <row r="1164" spans="2:2" x14ac:dyDescent="0.25">
      <c r="B1164" s="13"/>
    </row>
    <row r="1165" spans="2:2" x14ac:dyDescent="0.25">
      <c r="B1165" s="13"/>
    </row>
    <row r="1166" spans="2:2" x14ac:dyDescent="0.25">
      <c r="B1166" s="13"/>
    </row>
    <row r="1167" spans="2:2" x14ac:dyDescent="0.25">
      <c r="B1167" s="13"/>
    </row>
    <row r="1168" spans="2:2" x14ac:dyDescent="0.25">
      <c r="B1168" s="13"/>
    </row>
    <row r="1169" spans="1:11" x14ac:dyDescent="0.25">
      <c r="B1169" s="13"/>
    </row>
    <row r="1170" spans="1:11" x14ac:dyDescent="0.25">
      <c r="B1170" s="13"/>
    </row>
    <row r="1171" spans="1:11" x14ac:dyDescent="0.25">
      <c r="B1171" s="13"/>
    </row>
    <row r="1172" spans="1:11" x14ac:dyDescent="0.25">
      <c r="B1172" s="13"/>
    </row>
    <row r="1173" spans="1:11" x14ac:dyDescent="0.25">
      <c r="B1173" s="13"/>
    </row>
    <row r="1174" spans="1:11" x14ac:dyDescent="0.25">
      <c r="B1174" s="13"/>
    </row>
    <row r="1175" spans="1:11" x14ac:dyDescent="0.25">
      <c r="A1175" s="11"/>
      <c r="C1175" s="12"/>
      <c r="D1175" s="12"/>
      <c r="E1175" s="12"/>
      <c r="F1175" s="12"/>
      <c r="G1175" s="12"/>
      <c r="H1175" s="12"/>
      <c r="I1175" s="12"/>
      <c r="J1175" s="12"/>
      <c r="K1175" s="12"/>
    </row>
    <row r="1176" spans="1:11" x14ac:dyDescent="0.25">
      <c r="B1176" s="13"/>
    </row>
    <row r="1177" spans="1:11" x14ac:dyDescent="0.25">
      <c r="B1177" s="13"/>
    </row>
    <row r="1178" spans="1:11" x14ac:dyDescent="0.25">
      <c r="B1178" s="13"/>
    </row>
    <row r="1179" spans="1:11" x14ac:dyDescent="0.25">
      <c r="B1179" s="13"/>
    </row>
    <row r="1180" spans="1:11" x14ac:dyDescent="0.25">
      <c r="B1180" s="13"/>
    </row>
    <row r="1181" spans="1:11" x14ac:dyDescent="0.25">
      <c r="B1181" s="13"/>
    </row>
    <row r="1182" spans="1:11" x14ac:dyDescent="0.25">
      <c r="B1182" s="13"/>
    </row>
    <row r="1183" spans="1:11" x14ac:dyDescent="0.25">
      <c r="B1183" s="13"/>
    </row>
    <row r="1184" spans="1:11" x14ac:dyDescent="0.25">
      <c r="B1184" s="13"/>
    </row>
    <row r="1185" spans="1:11" x14ac:dyDescent="0.25">
      <c r="B1185" s="13"/>
    </row>
    <row r="1186" spans="1:11" x14ac:dyDescent="0.25">
      <c r="B1186" s="13"/>
    </row>
    <row r="1187" spans="1:11" x14ac:dyDescent="0.25">
      <c r="B1187" s="13"/>
    </row>
    <row r="1188" spans="1:11" x14ac:dyDescent="0.25">
      <c r="B1188" s="13"/>
    </row>
    <row r="1189" spans="1:11" x14ac:dyDescent="0.25">
      <c r="B1189" s="13"/>
    </row>
    <row r="1190" spans="1:11" x14ac:dyDescent="0.25">
      <c r="B1190" s="13"/>
    </row>
    <row r="1191" spans="1:11" x14ac:dyDescent="0.25">
      <c r="B1191" s="13"/>
    </row>
    <row r="1192" spans="1:11" x14ac:dyDescent="0.25">
      <c r="B1192" s="13"/>
    </row>
    <row r="1193" spans="1:11" x14ac:dyDescent="0.25">
      <c r="B1193" s="13"/>
    </row>
    <row r="1194" spans="1:11" x14ac:dyDescent="0.25">
      <c r="B1194" s="13"/>
    </row>
    <row r="1195" spans="1:11" x14ac:dyDescent="0.25">
      <c r="B1195" s="13"/>
    </row>
    <row r="1196" spans="1:11" x14ac:dyDescent="0.25">
      <c r="B1196" s="13"/>
    </row>
    <row r="1197" spans="1:11" x14ac:dyDescent="0.25">
      <c r="B1197" s="13"/>
    </row>
    <row r="1198" spans="1:11" x14ac:dyDescent="0.25">
      <c r="B1198" s="13"/>
    </row>
    <row r="1199" spans="1:11" x14ac:dyDescent="0.25">
      <c r="B1199" s="13"/>
    </row>
    <row r="1200" spans="1:11" x14ac:dyDescent="0.25">
      <c r="A1200" s="11"/>
      <c r="C1200" s="12"/>
      <c r="D1200" s="12"/>
      <c r="E1200" s="12"/>
      <c r="F1200" s="12"/>
      <c r="G1200" s="12"/>
      <c r="H1200" s="12"/>
      <c r="I1200" s="12"/>
      <c r="J1200" s="12"/>
      <c r="K1200" s="12"/>
    </row>
    <row r="1201" spans="2:2" x14ac:dyDescent="0.25">
      <c r="B1201" s="13"/>
    </row>
    <row r="1202" spans="2:2" x14ac:dyDescent="0.25">
      <c r="B1202" s="13"/>
    </row>
    <row r="1203" spans="2:2" x14ac:dyDescent="0.25">
      <c r="B1203" s="13"/>
    </row>
    <row r="1204" spans="2:2" x14ac:dyDescent="0.25">
      <c r="B1204" s="13"/>
    </row>
    <row r="1205" spans="2:2" x14ac:dyDescent="0.25">
      <c r="B1205" s="13"/>
    </row>
    <row r="1206" spans="2:2" x14ac:dyDescent="0.25">
      <c r="B1206" s="13"/>
    </row>
    <row r="1207" spans="2:2" x14ac:dyDescent="0.25">
      <c r="B1207" s="13"/>
    </row>
    <row r="1208" spans="2:2" x14ac:dyDescent="0.25">
      <c r="B1208" s="13"/>
    </row>
    <row r="1209" spans="2:2" x14ac:dyDescent="0.25">
      <c r="B1209" s="13"/>
    </row>
    <row r="1210" spans="2:2" x14ac:dyDescent="0.25">
      <c r="B1210" s="13"/>
    </row>
    <row r="1211" spans="2:2" x14ac:dyDescent="0.25">
      <c r="B1211" s="13"/>
    </row>
    <row r="1212" spans="2:2" x14ac:dyDescent="0.25">
      <c r="B1212" s="13"/>
    </row>
    <row r="1213" spans="2:2" x14ac:dyDescent="0.25">
      <c r="B1213" s="13"/>
    </row>
    <row r="1214" spans="2:2" x14ac:dyDescent="0.25">
      <c r="B1214" s="13"/>
    </row>
    <row r="1215" spans="2:2" x14ac:dyDescent="0.25">
      <c r="B1215" s="13"/>
    </row>
    <row r="1216" spans="2:2" x14ac:dyDescent="0.25">
      <c r="B1216" s="13"/>
    </row>
    <row r="1217" spans="1:11" x14ac:dyDescent="0.25">
      <c r="B1217" s="13"/>
    </row>
    <row r="1218" spans="1:11" x14ac:dyDescent="0.25">
      <c r="B1218" s="13"/>
    </row>
    <row r="1219" spans="1:11" x14ac:dyDescent="0.25">
      <c r="B1219" s="13"/>
    </row>
    <row r="1220" spans="1:11" x14ac:dyDescent="0.25">
      <c r="B1220" s="13"/>
    </row>
    <row r="1221" spans="1:11" x14ac:dyDescent="0.25">
      <c r="B1221" s="13"/>
    </row>
    <row r="1222" spans="1:11" x14ac:dyDescent="0.25">
      <c r="B1222" s="13"/>
    </row>
    <row r="1223" spans="1:11" x14ac:dyDescent="0.25">
      <c r="B1223" s="13"/>
    </row>
    <row r="1224" spans="1:11" x14ac:dyDescent="0.25">
      <c r="B1224" s="13"/>
    </row>
    <row r="1225" spans="1:11" x14ac:dyDescent="0.25">
      <c r="A1225" s="11"/>
      <c r="C1225" s="12"/>
      <c r="D1225" s="12"/>
      <c r="E1225" s="12"/>
      <c r="F1225" s="12"/>
      <c r="G1225" s="12"/>
      <c r="H1225" s="12"/>
      <c r="I1225" s="12"/>
      <c r="J1225" s="12"/>
      <c r="K1225" s="12"/>
    </row>
    <row r="1226" spans="1:11" x14ac:dyDescent="0.25">
      <c r="B1226" s="13"/>
    </row>
    <row r="1227" spans="1:11" x14ac:dyDescent="0.25">
      <c r="B1227" s="13"/>
    </row>
    <row r="1228" spans="1:11" x14ac:dyDescent="0.25">
      <c r="B1228" s="13"/>
    </row>
    <row r="1229" spans="1:11" x14ac:dyDescent="0.25">
      <c r="B1229" s="13"/>
    </row>
    <row r="1230" spans="1:11" x14ac:dyDescent="0.25">
      <c r="B1230" s="13"/>
    </row>
    <row r="1231" spans="1:11" x14ac:dyDescent="0.25">
      <c r="B1231" s="13"/>
    </row>
    <row r="1232" spans="1:11" x14ac:dyDescent="0.25">
      <c r="B1232" s="13"/>
    </row>
    <row r="1233" spans="2:2" x14ac:dyDescent="0.25">
      <c r="B1233" s="13"/>
    </row>
    <row r="1234" spans="2:2" x14ac:dyDescent="0.25">
      <c r="B1234" s="13"/>
    </row>
    <row r="1235" spans="2:2" x14ac:dyDescent="0.25">
      <c r="B1235" s="13"/>
    </row>
    <row r="1236" spans="2:2" x14ac:dyDescent="0.25">
      <c r="B1236" s="13"/>
    </row>
    <row r="1237" spans="2:2" x14ac:dyDescent="0.25">
      <c r="B1237" s="13"/>
    </row>
    <row r="1238" spans="2:2" x14ac:dyDescent="0.25">
      <c r="B1238" s="13"/>
    </row>
    <row r="1239" spans="2:2" x14ac:dyDescent="0.25">
      <c r="B1239" s="13"/>
    </row>
    <row r="1240" spans="2:2" x14ac:dyDescent="0.25">
      <c r="B1240" s="13"/>
    </row>
    <row r="1241" spans="2:2" x14ac:dyDescent="0.25">
      <c r="B1241" s="13"/>
    </row>
    <row r="1242" spans="2:2" x14ac:dyDescent="0.25">
      <c r="B1242" s="13"/>
    </row>
    <row r="1243" spans="2:2" x14ac:dyDescent="0.25">
      <c r="B1243" s="13"/>
    </row>
    <row r="1244" spans="2:2" x14ac:dyDescent="0.25">
      <c r="B1244" s="13"/>
    </row>
    <row r="1245" spans="2:2" x14ac:dyDescent="0.25">
      <c r="B1245" s="13"/>
    </row>
    <row r="1246" spans="2:2" x14ac:dyDescent="0.25">
      <c r="B1246" s="13"/>
    </row>
    <row r="1247" spans="2:2" x14ac:dyDescent="0.25">
      <c r="B1247" s="13"/>
    </row>
    <row r="1248" spans="2:2" x14ac:dyDescent="0.25">
      <c r="B1248" s="13"/>
    </row>
    <row r="1249" spans="1:11" x14ac:dyDescent="0.25">
      <c r="B1249" s="13"/>
    </row>
    <row r="1250" spans="1:11" x14ac:dyDescent="0.25">
      <c r="A1250" s="11"/>
      <c r="C1250" s="12"/>
      <c r="D1250" s="12"/>
      <c r="E1250" s="12"/>
      <c r="F1250" s="12"/>
      <c r="G1250" s="12"/>
      <c r="H1250" s="12"/>
      <c r="I1250" s="12"/>
      <c r="J1250" s="12"/>
      <c r="K1250" s="12"/>
    </row>
    <row r="1251" spans="1:11" x14ac:dyDescent="0.25">
      <c r="B1251" s="13"/>
    </row>
    <row r="1252" spans="1:11" x14ac:dyDescent="0.25">
      <c r="B1252" s="13"/>
    </row>
    <row r="1253" spans="1:11" x14ac:dyDescent="0.25">
      <c r="B1253" s="13"/>
    </row>
    <row r="1254" spans="1:11" x14ac:dyDescent="0.25">
      <c r="B1254" s="13"/>
    </row>
    <row r="1255" spans="1:11" x14ac:dyDescent="0.25">
      <c r="B1255" s="13"/>
    </row>
    <row r="1256" spans="1:11" x14ac:dyDescent="0.25">
      <c r="B1256" s="13"/>
    </row>
    <row r="1257" spans="1:11" x14ac:dyDescent="0.25">
      <c r="B1257" s="13"/>
    </row>
    <row r="1258" spans="1:11" x14ac:dyDescent="0.25">
      <c r="B1258" s="13"/>
    </row>
    <row r="1259" spans="1:11" x14ac:dyDescent="0.25">
      <c r="B1259" s="13"/>
    </row>
    <row r="1260" spans="1:11" x14ac:dyDescent="0.25">
      <c r="B1260" s="13"/>
    </row>
    <row r="1261" spans="1:11" x14ac:dyDescent="0.25">
      <c r="B1261" s="13"/>
    </row>
    <row r="1262" spans="1:11" x14ac:dyDescent="0.25">
      <c r="B1262" s="13"/>
    </row>
    <row r="1263" spans="1:11" x14ac:dyDescent="0.25">
      <c r="B1263" s="13"/>
    </row>
    <row r="1264" spans="1:11" x14ac:dyDescent="0.25">
      <c r="B1264" s="13"/>
    </row>
    <row r="1265" spans="1:11" x14ac:dyDescent="0.25">
      <c r="B1265" s="13"/>
    </row>
    <row r="1266" spans="1:11" x14ac:dyDescent="0.25">
      <c r="B1266" s="13"/>
    </row>
    <row r="1267" spans="1:11" x14ac:dyDescent="0.25">
      <c r="B1267" s="13"/>
    </row>
    <row r="1268" spans="1:11" x14ac:dyDescent="0.25">
      <c r="B1268" s="13"/>
    </row>
    <row r="1269" spans="1:11" x14ac:dyDescent="0.25">
      <c r="B1269" s="13"/>
    </row>
    <row r="1270" spans="1:11" x14ac:dyDescent="0.25">
      <c r="B1270" s="13"/>
    </row>
    <row r="1271" spans="1:11" x14ac:dyDescent="0.25">
      <c r="B1271" s="13"/>
    </row>
    <row r="1272" spans="1:11" x14ac:dyDescent="0.25">
      <c r="B1272" s="13"/>
    </row>
    <row r="1273" spans="1:11" x14ac:dyDescent="0.25">
      <c r="B1273" s="13"/>
    </row>
    <row r="1274" spans="1:11" x14ac:dyDescent="0.25">
      <c r="B1274" s="13"/>
    </row>
    <row r="1275" spans="1:11" x14ac:dyDescent="0.25">
      <c r="A1275" s="11"/>
      <c r="C1275" s="12"/>
      <c r="D1275" s="12"/>
      <c r="E1275" s="12"/>
      <c r="F1275" s="12"/>
      <c r="G1275" s="12"/>
      <c r="H1275" s="12"/>
      <c r="I1275" s="12"/>
      <c r="J1275" s="12"/>
      <c r="K1275" s="12"/>
    </row>
    <row r="1276" spans="1:11" x14ac:dyDescent="0.25">
      <c r="B1276" s="13"/>
    </row>
    <row r="1277" spans="1:11" x14ac:dyDescent="0.25">
      <c r="B1277" s="13"/>
    </row>
    <row r="1278" spans="1:11" x14ac:dyDescent="0.25">
      <c r="B1278" s="13"/>
    </row>
    <row r="1279" spans="1:11" x14ac:dyDescent="0.25">
      <c r="B1279" s="13"/>
    </row>
    <row r="1280" spans="1:11" x14ac:dyDescent="0.25">
      <c r="B1280" s="13"/>
    </row>
    <row r="1281" spans="2:2" x14ac:dyDescent="0.25">
      <c r="B1281" s="13"/>
    </row>
    <row r="1282" spans="2:2" x14ac:dyDescent="0.25">
      <c r="B1282" s="13"/>
    </row>
    <row r="1283" spans="2:2" x14ac:dyDescent="0.25">
      <c r="B1283" s="13"/>
    </row>
    <row r="1284" spans="2:2" x14ac:dyDescent="0.25">
      <c r="B1284" s="13"/>
    </row>
    <row r="1285" spans="2:2" x14ac:dyDescent="0.25">
      <c r="B1285" s="13"/>
    </row>
    <row r="1286" spans="2:2" x14ac:dyDescent="0.25">
      <c r="B1286" s="13"/>
    </row>
    <row r="1287" spans="2:2" x14ac:dyDescent="0.25">
      <c r="B1287" s="13"/>
    </row>
    <row r="1288" spans="2:2" x14ac:dyDescent="0.25">
      <c r="B1288" s="13"/>
    </row>
    <row r="1289" spans="2:2" x14ac:dyDescent="0.25">
      <c r="B1289" s="13"/>
    </row>
    <row r="1290" spans="2:2" x14ac:dyDescent="0.25">
      <c r="B1290" s="13"/>
    </row>
    <row r="1291" spans="2:2" x14ac:dyDescent="0.25">
      <c r="B1291" s="13"/>
    </row>
    <row r="1292" spans="2:2" x14ac:dyDescent="0.25">
      <c r="B1292" s="13"/>
    </row>
    <row r="1293" spans="2:2" x14ac:dyDescent="0.25">
      <c r="B1293" s="13"/>
    </row>
    <row r="1294" spans="2:2" x14ac:dyDescent="0.25">
      <c r="B1294" s="13"/>
    </row>
    <row r="1295" spans="2:2" x14ac:dyDescent="0.25">
      <c r="B1295" s="13"/>
    </row>
    <row r="1296" spans="2:2" x14ac:dyDescent="0.25">
      <c r="B1296" s="13"/>
    </row>
    <row r="1297" spans="1:11" x14ac:dyDescent="0.25">
      <c r="B1297" s="13"/>
    </row>
    <row r="1298" spans="1:11" x14ac:dyDescent="0.25">
      <c r="B1298" s="13"/>
    </row>
    <row r="1299" spans="1:11" x14ac:dyDescent="0.25">
      <c r="B1299" s="13"/>
    </row>
    <row r="1300" spans="1:11" x14ac:dyDescent="0.25">
      <c r="A1300" s="11"/>
      <c r="C1300" s="12"/>
      <c r="D1300" s="12"/>
      <c r="E1300" s="12"/>
      <c r="F1300" s="12"/>
      <c r="G1300" s="12"/>
      <c r="H1300" s="12"/>
      <c r="I1300" s="12"/>
      <c r="J1300" s="12"/>
      <c r="K1300" s="12"/>
    </row>
    <row r="1301" spans="1:11" x14ac:dyDescent="0.25">
      <c r="B1301" s="13"/>
    </row>
    <row r="1302" spans="1:11" x14ac:dyDescent="0.25">
      <c r="B1302" s="13"/>
    </row>
    <row r="1303" spans="1:11" x14ac:dyDescent="0.25">
      <c r="B1303" s="13"/>
    </row>
    <row r="1304" spans="1:11" x14ac:dyDescent="0.25">
      <c r="B1304" s="13"/>
    </row>
    <row r="1305" spans="1:11" x14ac:dyDescent="0.25">
      <c r="B1305" s="13"/>
    </row>
    <row r="1306" spans="1:11" x14ac:dyDescent="0.25">
      <c r="B1306" s="13"/>
    </row>
    <row r="1307" spans="1:11" x14ac:dyDescent="0.25">
      <c r="B1307" s="13"/>
    </row>
    <row r="1308" spans="1:11" x14ac:dyDescent="0.25">
      <c r="B1308" s="13"/>
    </row>
    <row r="1309" spans="1:11" x14ac:dyDescent="0.25">
      <c r="B1309" s="13"/>
    </row>
    <row r="1310" spans="1:11" x14ac:dyDescent="0.25">
      <c r="B1310" s="13"/>
    </row>
    <row r="1311" spans="1:11" x14ac:dyDescent="0.25">
      <c r="B1311" s="13"/>
    </row>
    <row r="1312" spans="1:11" x14ac:dyDescent="0.25">
      <c r="B1312" s="13"/>
    </row>
    <row r="1313" spans="1:11" x14ac:dyDescent="0.25">
      <c r="B1313" s="13"/>
    </row>
    <row r="1314" spans="1:11" x14ac:dyDescent="0.25">
      <c r="B1314" s="13"/>
    </row>
    <row r="1315" spans="1:11" x14ac:dyDescent="0.25">
      <c r="B1315" s="13"/>
    </row>
    <row r="1316" spans="1:11" x14ac:dyDescent="0.25">
      <c r="B1316" s="13"/>
    </row>
    <row r="1317" spans="1:11" x14ac:dyDescent="0.25">
      <c r="B1317" s="13"/>
    </row>
    <row r="1318" spans="1:11" x14ac:dyDescent="0.25">
      <c r="B1318" s="13"/>
    </row>
    <row r="1319" spans="1:11" x14ac:dyDescent="0.25">
      <c r="B1319" s="13"/>
    </row>
    <row r="1320" spans="1:11" x14ac:dyDescent="0.25">
      <c r="B1320" s="13"/>
    </row>
    <row r="1321" spans="1:11" x14ac:dyDescent="0.25">
      <c r="B1321" s="13"/>
    </row>
    <row r="1322" spans="1:11" x14ac:dyDescent="0.25">
      <c r="B1322" s="13"/>
    </row>
    <row r="1323" spans="1:11" x14ac:dyDescent="0.25">
      <c r="B1323" s="13"/>
    </row>
    <row r="1324" spans="1:11" x14ac:dyDescent="0.25">
      <c r="B1324" s="13"/>
    </row>
    <row r="1325" spans="1:11" x14ac:dyDescent="0.25">
      <c r="A1325" s="11"/>
      <c r="C1325" s="12"/>
      <c r="D1325" s="12"/>
      <c r="E1325" s="12"/>
      <c r="F1325" s="12"/>
      <c r="G1325" s="12"/>
      <c r="H1325" s="12"/>
      <c r="I1325" s="12"/>
      <c r="J1325" s="12"/>
      <c r="K1325" s="12"/>
    </row>
    <row r="1326" spans="1:11" x14ac:dyDescent="0.25">
      <c r="B1326" s="13"/>
    </row>
    <row r="1327" spans="1:11" x14ac:dyDescent="0.25">
      <c r="B1327" s="13"/>
    </row>
    <row r="1328" spans="1:11" x14ac:dyDescent="0.25">
      <c r="B1328" s="13"/>
    </row>
    <row r="1329" spans="2:2" x14ac:dyDescent="0.25">
      <c r="B1329" s="13"/>
    </row>
    <row r="1330" spans="2:2" x14ac:dyDescent="0.25">
      <c r="B1330" s="13"/>
    </row>
    <row r="1331" spans="2:2" x14ac:dyDescent="0.25">
      <c r="B1331" s="13"/>
    </row>
    <row r="1332" spans="2:2" x14ac:dyDescent="0.25">
      <c r="B1332" s="13"/>
    </row>
    <row r="1333" spans="2:2" x14ac:dyDescent="0.25">
      <c r="B1333" s="13"/>
    </row>
    <row r="1334" spans="2:2" x14ac:dyDescent="0.25">
      <c r="B1334" s="13"/>
    </row>
    <row r="1335" spans="2:2" x14ac:dyDescent="0.25">
      <c r="B1335" s="13"/>
    </row>
    <row r="1336" spans="2:2" x14ac:dyDescent="0.25">
      <c r="B1336" s="13"/>
    </row>
    <row r="1337" spans="2:2" x14ac:dyDescent="0.25">
      <c r="B1337" s="13"/>
    </row>
    <row r="1338" spans="2:2" x14ac:dyDescent="0.25">
      <c r="B1338" s="13"/>
    </row>
    <row r="1339" spans="2:2" x14ac:dyDescent="0.25">
      <c r="B1339" s="13"/>
    </row>
    <row r="1340" spans="2:2" x14ac:dyDescent="0.25">
      <c r="B1340" s="13"/>
    </row>
    <row r="1341" spans="2:2" x14ac:dyDescent="0.25">
      <c r="B1341" s="13"/>
    </row>
    <row r="1342" spans="2:2" x14ac:dyDescent="0.25">
      <c r="B1342" s="13"/>
    </row>
    <row r="1343" spans="2:2" x14ac:dyDescent="0.25">
      <c r="B1343" s="13"/>
    </row>
    <row r="1344" spans="2:2" x14ac:dyDescent="0.25">
      <c r="B1344" s="13"/>
    </row>
    <row r="1345" spans="1:11" x14ac:dyDescent="0.25">
      <c r="B1345" s="13"/>
    </row>
    <row r="1346" spans="1:11" x14ac:dyDescent="0.25">
      <c r="B1346" s="13"/>
    </row>
    <row r="1347" spans="1:11" x14ac:dyDescent="0.25">
      <c r="B1347" s="13"/>
    </row>
    <row r="1348" spans="1:11" x14ac:dyDescent="0.25">
      <c r="B1348" s="13"/>
    </row>
    <row r="1349" spans="1:11" x14ac:dyDescent="0.25">
      <c r="B1349" s="13"/>
    </row>
    <row r="1350" spans="1:11" x14ac:dyDescent="0.25">
      <c r="A1350" s="11"/>
      <c r="C1350" s="12"/>
      <c r="D1350" s="12"/>
      <c r="E1350" s="12"/>
      <c r="F1350" s="12"/>
      <c r="G1350" s="12"/>
      <c r="H1350" s="12"/>
      <c r="I1350" s="12"/>
      <c r="J1350" s="12"/>
      <c r="K1350" s="12"/>
    </row>
    <row r="1351" spans="1:11" x14ac:dyDescent="0.25">
      <c r="B1351" s="13"/>
    </row>
    <row r="1352" spans="1:11" x14ac:dyDescent="0.25">
      <c r="B1352" s="13"/>
    </row>
    <row r="1353" spans="1:11" x14ac:dyDescent="0.25">
      <c r="B1353" s="13"/>
    </row>
    <row r="1354" spans="1:11" x14ac:dyDescent="0.25">
      <c r="B1354" s="13"/>
    </row>
    <row r="1355" spans="1:11" x14ac:dyDescent="0.25">
      <c r="B1355" s="13"/>
    </row>
    <row r="1356" spans="1:11" x14ac:dyDescent="0.25">
      <c r="B1356" s="13"/>
    </row>
    <row r="1357" spans="1:11" x14ac:dyDescent="0.25">
      <c r="B1357" s="13"/>
    </row>
    <row r="1358" spans="1:11" x14ac:dyDescent="0.25">
      <c r="B1358" s="13"/>
    </row>
    <row r="1359" spans="1:11" x14ac:dyDescent="0.25">
      <c r="B1359" s="13"/>
    </row>
    <row r="1360" spans="1:11" x14ac:dyDescent="0.25">
      <c r="B1360" s="13"/>
    </row>
    <row r="1361" spans="1:11" x14ac:dyDescent="0.25">
      <c r="B1361" s="13"/>
    </row>
    <row r="1362" spans="1:11" x14ac:dyDescent="0.25">
      <c r="B1362" s="13"/>
    </row>
    <row r="1363" spans="1:11" x14ac:dyDescent="0.25">
      <c r="B1363" s="13"/>
    </row>
    <row r="1364" spans="1:11" x14ac:dyDescent="0.25">
      <c r="B1364" s="13"/>
    </row>
    <row r="1365" spans="1:11" x14ac:dyDescent="0.25">
      <c r="B1365" s="13"/>
    </row>
    <row r="1366" spans="1:11" x14ac:dyDescent="0.25">
      <c r="B1366" s="13"/>
    </row>
    <row r="1367" spans="1:11" x14ac:dyDescent="0.25">
      <c r="B1367" s="13"/>
    </row>
    <row r="1368" spans="1:11" x14ac:dyDescent="0.25">
      <c r="B1368" s="13"/>
    </row>
    <row r="1369" spans="1:11" x14ac:dyDescent="0.25">
      <c r="B1369" s="13"/>
    </row>
    <row r="1370" spans="1:11" x14ac:dyDescent="0.25">
      <c r="B1370" s="13"/>
    </row>
    <row r="1371" spans="1:11" x14ac:dyDescent="0.25">
      <c r="B1371" s="13"/>
    </row>
    <row r="1372" spans="1:11" x14ac:dyDescent="0.25">
      <c r="B1372" s="13"/>
    </row>
    <row r="1373" spans="1:11" x14ac:dyDescent="0.25">
      <c r="B1373" s="13"/>
    </row>
    <row r="1374" spans="1:11" x14ac:dyDescent="0.25">
      <c r="B1374" s="13"/>
    </row>
    <row r="1375" spans="1:11" x14ac:dyDescent="0.25">
      <c r="A1375" s="11"/>
      <c r="C1375" s="12"/>
      <c r="D1375" s="12"/>
      <c r="E1375" s="12"/>
      <c r="F1375" s="12"/>
      <c r="G1375" s="12"/>
      <c r="H1375" s="12"/>
      <c r="I1375" s="12"/>
      <c r="J1375" s="12"/>
      <c r="K1375" s="12"/>
    </row>
    <row r="1376" spans="1:11" x14ac:dyDescent="0.25">
      <c r="B1376" s="13"/>
    </row>
    <row r="1377" spans="2:2" x14ac:dyDescent="0.25">
      <c r="B1377" s="13"/>
    </row>
    <row r="1378" spans="2:2" x14ac:dyDescent="0.25">
      <c r="B1378" s="13"/>
    </row>
    <row r="1379" spans="2:2" x14ac:dyDescent="0.25">
      <c r="B1379" s="13"/>
    </row>
    <row r="1380" spans="2:2" x14ac:dyDescent="0.25">
      <c r="B1380" s="13"/>
    </row>
    <row r="1381" spans="2:2" x14ac:dyDescent="0.25">
      <c r="B1381" s="13"/>
    </row>
    <row r="1382" spans="2:2" x14ac:dyDescent="0.25">
      <c r="B1382" s="13"/>
    </row>
    <row r="1383" spans="2:2" x14ac:dyDescent="0.25">
      <c r="B1383" s="13"/>
    </row>
    <row r="1384" spans="2:2" x14ac:dyDescent="0.25">
      <c r="B1384" s="13"/>
    </row>
    <row r="1385" spans="2:2" x14ac:dyDescent="0.25">
      <c r="B1385" s="13"/>
    </row>
    <row r="1386" spans="2:2" x14ac:dyDescent="0.25">
      <c r="B1386" s="13"/>
    </row>
    <row r="1387" spans="2:2" x14ac:dyDescent="0.25">
      <c r="B1387" s="13"/>
    </row>
    <row r="1388" spans="2:2" x14ac:dyDescent="0.25">
      <c r="B1388" s="13"/>
    </row>
    <row r="1389" spans="2:2" x14ac:dyDescent="0.25">
      <c r="B1389" s="13"/>
    </row>
    <row r="1390" spans="2:2" x14ac:dyDescent="0.25">
      <c r="B1390" s="13"/>
    </row>
    <row r="1391" spans="2:2" x14ac:dyDescent="0.25">
      <c r="B1391" s="13"/>
    </row>
    <row r="1392" spans="2:2" x14ac:dyDescent="0.25">
      <c r="B1392" s="13"/>
    </row>
    <row r="1393" spans="1:11" x14ac:dyDescent="0.25">
      <c r="B1393" s="13"/>
    </row>
    <row r="1394" spans="1:11" x14ac:dyDescent="0.25">
      <c r="B1394" s="13"/>
    </row>
    <row r="1395" spans="1:11" x14ac:dyDescent="0.25">
      <c r="B1395" s="13"/>
    </row>
    <row r="1396" spans="1:11" x14ac:dyDescent="0.25">
      <c r="B1396" s="13"/>
    </row>
    <row r="1397" spans="1:11" x14ac:dyDescent="0.25">
      <c r="B1397" s="13"/>
    </row>
    <row r="1398" spans="1:11" x14ac:dyDescent="0.25">
      <c r="B1398" s="13"/>
    </row>
    <row r="1399" spans="1:11" x14ac:dyDescent="0.25">
      <c r="B1399" s="13"/>
    </row>
    <row r="1400" spans="1:11" x14ac:dyDescent="0.25">
      <c r="A1400" s="11"/>
      <c r="C1400" s="12"/>
      <c r="D1400" s="12"/>
      <c r="E1400" s="12"/>
      <c r="F1400" s="12"/>
      <c r="G1400" s="12"/>
      <c r="H1400" s="12"/>
      <c r="I1400" s="12"/>
      <c r="J1400" s="12"/>
      <c r="K1400" s="12"/>
    </row>
    <row r="1401" spans="1:11" x14ac:dyDescent="0.25">
      <c r="B1401" s="13"/>
    </row>
    <row r="1402" spans="1:11" x14ac:dyDescent="0.25">
      <c r="B1402" s="13"/>
    </row>
    <row r="1403" spans="1:11" x14ac:dyDescent="0.25">
      <c r="B1403" s="13"/>
    </row>
    <row r="1404" spans="1:11" x14ac:dyDescent="0.25">
      <c r="B1404" s="13"/>
    </row>
    <row r="1405" spans="1:11" x14ac:dyDescent="0.25">
      <c r="B1405" s="13"/>
    </row>
    <row r="1406" spans="1:11" x14ac:dyDescent="0.25">
      <c r="B1406" s="13"/>
    </row>
    <row r="1407" spans="1:11" x14ac:dyDescent="0.25">
      <c r="B1407" s="13"/>
    </row>
    <row r="1408" spans="1:11" x14ac:dyDescent="0.25">
      <c r="B1408" s="13"/>
    </row>
    <row r="1409" spans="2:2" x14ac:dyDescent="0.25">
      <c r="B1409" s="13"/>
    </row>
    <row r="1410" spans="2:2" x14ac:dyDescent="0.25">
      <c r="B1410" s="13"/>
    </row>
    <row r="1411" spans="2:2" x14ac:dyDescent="0.25">
      <c r="B1411" s="13"/>
    </row>
    <row r="1412" spans="2:2" x14ac:dyDescent="0.25">
      <c r="B1412" s="13"/>
    </row>
    <row r="1413" spans="2:2" x14ac:dyDescent="0.25">
      <c r="B1413" s="13"/>
    </row>
    <row r="1414" spans="2:2" x14ac:dyDescent="0.25">
      <c r="B1414" s="13"/>
    </row>
    <row r="1415" spans="2:2" x14ac:dyDescent="0.25">
      <c r="B1415" s="13"/>
    </row>
    <row r="1416" spans="2:2" x14ac:dyDescent="0.25">
      <c r="B1416" s="13"/>
    </row>
    <row r="1417" spans="2:2" x14ac:dyDescent="0.25">
      <c r="B1417" s="13"/>
    </row>
    <row r="1418" spans="2:2" x14ac:dyDescent="0.25">
      <c r="B1418" s="13"/>
    </row>
    <row r="1419" spans="2:2" x14ac:dyDescent="0.25">
      <c r="B1419" s="13"/>
    </row>
    <row r="1420" spans="2:2" x14ac:dyDescent="0.25">
      <c r="B1420" s="13"/>
    </row>
    <row r="1421" spans="2:2" x14ac:dyDescent="0.25">
      <c r="B1421" s="13"/>
    </row>
    <row r="1422" spans="2:2" x14ac:dyDescent="0.25">
      <c r="B1422" s="13"/>
    </row>
    <row r="1423" spans="2:2" x14ac:dyDescent="0.25">
      <c r="B1423" s="13"/>
    </row>
    <row r="1424" spans="2:2" x14ac:dyDescent="0.25">
      <c r="B1424" s="13"/>
    </row>
    <row r="1425" spans="1:11" x14ac:dyDescent="0.25">
      <c r="A1425" s="11"/>
      <c r="C1425" s="12"/>
      <c r="D1425" s="12"/>
      <c r="E1425" s="12"/>
      <c r="F1425" s="12"/>
      <c r="G1425" s="12"/>
      <c r="H1425" s="12"/>
      <c r="I1425" s="12"/>
      <c r="J1425" s="12"/>
      <c r="K1425" s="12"/>
    </row>
    <row r="1426" spans="1:11" x14ac:dyDescent="0.25">
      <c r="B1426" s="13"/>
    </row>
    <row r="1427" spans="1:11" x14ac:dyDescent="0.25">
      <c r="B1427" s="13"/>
    </row>
    <row r="1428" spans="1:11" x14ac:dyDescent="0.25">
      <c r="B1428" s="13"/>
    </row>
    <row r="1429" spans="1:11" x14ac:dyDescent="0.25">
      <c r="B1429" s="13"/>
    </row>
    <row r="1430" spans="1:11" x14ac:dyDescent="0.25">
      <c r="B1430" s="13"/>
    </row>
    <row r="1431" spans="1:11" x14ac:dyDescent="0.25">
      <c r="B1431" s="13"/>
    </row>
    <row r="1432" spans="1:11" x14ac:dyDescent="0.25">
      <c r="B1432" s="13"/>
    </row>
    <row r="1433" spans="1:11" x14ac:dyDescent="0.25">
      <c r="B1433" s="13"/>
    </row>
    <row r="1434" spans="1:11" x14ac:dyDescent="0.25">
      <c r="B1434" s="13"/>
    </row>
    <row r="1435" spans="1:11" x14ac:dyDescent="0.25">
      <c r="B1435" s="13"/>
    </row>
    <row r="1436" spans="1:11" x14ac:dyDescent="0.25">
      <c r="B1436" s="13"/>
    </row>
    <row r="1437" spans="1:11" x14ac:dyDescent="0.25">
      <c r="B1437" s="13"/>
    </row>
    <row r="1438" spans="1:11" x14ac:dyDescent="0.25">
      <c r="B1438" s="13"/>
    </row>
    <row r="1439" spans="1:11" x14ac:dyDescent="0.25">
      <c r="B1439" s="13"/>
    </row>
    <row r="1440" spans="1:11" x14ac:dyDescent="0.25">
      <c r="B1440" s="13"/>
    </row>
    <row r="1441" spans="1:11" x14ac:dyDescent="0.25">
      <c r="B1441" s="13"/>
    </row>
    <row r="1442" spans="1:11" x14ac:dyDescent="0.25">
      <c r="B1442" s="13"/>
    </row>
    <row r="1443" spans="1:11" x14ac:dyDescent="0.25">
      <c r="B1443" s="13"/>
    </row>
    <row r="1444" spans="1:11" x14ac:dyDescent="0.25">
      <c r="B1444" s="13"/>
    </row>
    <row r="1445" spans="1:11" x14ac:dyDescent="0.25">
      <c r="B1445" s="13"/>
    </row>
    <row r="1446" spans="1:11" x14ac:dyDescent="0.25">
      <c r="B1446" s="13"/>
    </row>
    <row r="1447" spans="1:11" x14ac:dyDescent="0.25">
      <c r="B1447" s="13"/>
    </row>
    <row r="1448" spans="1:11" x14ac:dyDescent="0.25">
      <c r="B1448" s="13"/>
    </row>
    <row r="1449" spans="1:11" x14ac:dyDescent="0.25">
      <c r="B1449" s="13"/>
    </row>
    <row r="1450" spans="1:11" x14ac:dyDescent="0.25">
      <c r="A1450" s="11"/>
      <c r="C1450" s="12"/>
      <c r="D1450" s="12"/>
      <c r="E1450" s="12"/>
      <c r="F1450" s="12"/>
      <c r="G1450" s="12"/>
      <c r="H1450" s="12"/>
      <c r="I1450" s="12"/>
      <c r="J1450" s="12"/>
      <c r="K1450" s="12"/>
    </row>
    <row r="1451" spans="1:11" x14ac:dyDescent="0.25">
      <c r="B1451" s="13"/>
    </row>
    <row r="1452" spans="1:11" x14ac:dyDescent="0.25">
      <c r="B1452" s="13"/>
    </row>
    <row r="1453" spans="1:11" x14ac:dyDescent="0.25">
      <c r="B1453" s="13"/>
    </row>
    <row r="1454" spans="1:11" x14ac:dyDescent="0.25">
      <c r="B1454" s="13"/>
    </row>
    <row r="1455" spans="1:11" x14ac:dyDescent="0.25">
      <c r="B1455" s="13"/>
    </row>
    <row r="1456" spans="1:11" x14ac:dyDescent="0.25">
      <c r="B1456" s="13"/>
    </row>
    <row r="1457" spans="2:2" x14ac:dyDescent="0.25">
      <c r="B1457" s="13"/>
    </row>
    <row r="1458" spans="2:2" x14ac:dyDescent="0.25">
      <c r="B1458" s="13"/>
    </row>
    <row r="1459" spans="2:2" x14ac:dyDescent="0.25">
      <c r="B1459" s="13"/>
    </row>
    <row r="1460" spans="2:2" x14ac:dyDescent="0.25">
      <c r="B1460" s="13"/>
    </row>
    <row r="1461" spans="2:2" x14ac:dyDescent="0.25">
      <c r="B1461" s="13"/>
    </row>
    <row r="1462" spans="2:2" x14ac:dyDescent="0.25">
      <c r="B1462" s="13"/>
    </row>
    <row r="1463" spans="2:2" x14ac:dyDescent="0.25">
      <c r="B1463" s="13"/>
    </row>
    <row r="1464" spans="2:2" x14ac:dyDescent="0.25">
      <c r="B1464" s="13"/>
    </row>
    <row r="1465" spans="2:2" x14ac:dyDescent="0.25">
      <c r="B1465" s="13"/>
    </row>
    <row r="1466" spans="2:2" x14ac:dyDescent="0.25">
      <c r="B1466" s="13"/>
    </row>
    <row r="1467" spans="2:2" x14ac:dyDescent="0.25">
      <c r="B1467" s="13"/>
    </row>
    <row r="1468" spans="2:2" x14ac:dyDescent="0.25">
      <c r="B1468" s="13"/>
    </row>
    <row r="1469" spans="2:2" x14ac:dyDescent="0.25">
      <c r="B1469" s="13"/>
    </row>
    <row r="1470" spans="2:2" x14ac:dyDescent="0.25">
      <c r="B1470" s="13"/>
    </row>
    <row r="1471" spans="2:2" x14ac:dyDescent="0.25">
      <c r="B1471" s="13"/>
    </row>
    <row r="1472" spans="2:2" x14ac:dyDescent="0.25">
      <c r="B1472" s="13"/>
    </row>
    <row r="1473" spans="1:11" x14ac:dyDescent="0.25">
      <c r="B1473" s="13"/>
    </row>
    <row r="1474" spans="1:11" x14ac:dyDescent="0.25">
      <c r="B1474" s="13"/>
    </row>
    <row r="1475" spans="1:11" x14ac:dyDescent="0.25">
      <c r="A1475" s="11"/>
      <c r="C1475" s="12"/>
      <c r="D1475" s="12"/>
      <c r="E1475" s="12"/>
      <c r="F1475" s="12"/>
      <c r="G1475" s="12"/>
      <c r="H1475" s="12"/>
      <c r="I1475" s="12"/>
      <c r="J1475" s="12"/>
      <c r="K1475" s="12"/>
    </row>
  </sheetData>
  <sheetProtection algorithmName="SHA-512" hashValue="SyszJf66B6uL1sm5EW8oYpP5y271REzyIKaDPmg/ualaKXN8f54XZtaXxyxVcTz1H70dQhUWscP7eBVzwWFcUA==" saltValue="p1lxSrtxPlrbe1AD+ogbBA==" spinCount="100000" sheet="1" objects="1" scenarios="1"/>
  <mergeCells count="1">
    <mergeCell ref="J811:K8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IA1 Ian</vt:lpstr>
      <vt:lpstr>IA2</vt:lpstr>
      <vt:lpstr>IA3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Raluca Paduret</dc:creator>
  <cp:lastModifiedBy>Laurențiu-Andrei HENEGARIU (151603)</cp:lastModifiedBy>
  <dcterms:created xsi:type="dcterms:W3CDTF">2025-12-30T12:51:00Z</dcterms:created>
  <dcterms:modified xsi:type="dcterms:W3CDTF">2026-02-27T07:03:32Z</dcterms:modified>
</cp:coreProperties>
</file>